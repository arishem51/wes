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Scope" sheetId="2" state="visible" r:id="rId2"/>
    <sheet xmlns:r="http://schemas.openxmlformats.org/officeDocument/2006/relationships" name="WBS" sheetId="3" state="visible" r:id="rId3"/>
    <sheet xmlns:r="http://schemas.openxmlformats.org/officeDocument/2006/relationships" name="Q&amp;A" sheetId="4" state="visible" r:id="rId4"/>
    <sheet xmlns:r="http://schemas.openxmlformats.org/officeDocument/2006/relationships" name="TimeLogs" sheetId="5" state="visible" r:id="rId5"/>
    <sheet xmlns:r="http://schemas.openxmlformats.org/officeDocument/2006/relationships" name="Defects" sheetId="6" state="visible" r:id="rId6"/>
    <sheet xmlns:r="http://schemas.openxmlformats.org/officeDocument/2006/relationships" name="Issues" sheetId="7" state="visible" r:id="rId7"/>
    <sheet xmlns:r="http://schemas.openxmlformats.org/officeDocument/2006/relationships" name="Risks" sheetId="8" state="visible" r:id="rId8"/>
    <sheet xmlns:r="http://schemas.openxmlformats.org/officeDocument/2006/relationships" name="ChangeLog" sheetId="9" state="visible" r:id="rId9"/>
  </sheets>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36">
    <font>
      <name val="Calibri"/>
      <color theme="1"/>
      <sz val="11"/>
      <scheme val="minor"/>
    </font>
    <font>
      <name val="Calibri"/>
      <color theme="1"/>
      <sz val="11"/>
    </font>
    <font>
      <name val="Arial"/>
      <b val="1"/>
      <color rgb="FF1F3864"/>
      <sz val="14"/>
    </font>
    <font>
      <name val="Arial"/>
      <b val="1"/>
      <color rgb="FF1F3864"/>
      <sz val="16"/>
    </font>
    <font>
      <name val="Arial"/>
      <color rgb="FF595959"/>
      <sz val="9"/>
    </font>
    <font>
      <name val="Arial"/>
      <b val="1"/>
      <color rgb="FFFFFFFF"/>
      <sz val="10"/>
    </font>
    <font>
      <name val="Arial"/>
      <b val="1"/>
      <color rgb="FFFFFFFF"/>
      <sz val="16"/>
    </font>
    <font>
      <name val="Calibri"/>
      <b val="1"/>
      <color rgb="FFFFFFFF"/>
      <sz val="11"/>
    </font>
    <font>
      <name val="Arial"/>
      <b val="1"/>
      <color rgb="FF7F6000"/>
      <sz val="10"/>
    </font>
    <font/>
    <font>
      <name val="Arial"/>
      <color rgb="FF000000"/>
      <sz val="10"/>
    </font>
    <font>
      <name val="Arial"/>
      <i val="1"/>
      <color rgb="FF000000"/>
      <sz val="10"/>
    </font>
    <font>
      <name val="Arial"/>
      <color rgb="FF7F6000"/>
      <sz val="10"/>
    </font>
    <font>
      <name val="Arial"/>
      <b val="1"/>
      <color rgb="FF1F3864"/>
      <sz val="10"/>
    </font>
    <font>
      <name val="Calibri"/>
      <b val="1"/>
      <color rgb="FF1F3864"/>
      <sz val="11"/>
    </font>
    <font>
      <name val="Calibri"/>
      <b val="1"/>
      <color rgb="FF2E75B6"/>
      <sz val="11"/>
    </font>
    <font>
      <name val="Calibri"/>
      <color rgb="FF11734B"/>
      <sz val="11"/>
    </font>
    <font>
      <name val="Google Sans"/>
      <color theme="1"/>
      <sz val="11"/>
    </font>
    <font>
      <name val="Calibri"/>
      <color rgb="FFD4EDBC"/>
      <sz val="11"/>
    </font>
    <font>
      <name val="Calibri"/>
      <color rgb="FFB10202"/>
      <sz val="11"/>
    </font>
    <font>
      <name val="Arial"/>
      <b val="1"/>
      <color rgb="FF1F3864"/>
      <sz val="12"/>
    </font>
    <font>
      <name val="Arial"/>
      <b val="1"/>
      <color rgb="FFFFFFFF"/>
      <sz val="11"/>
    </font>
    <font>
      <name val="Arial"/>
      <b val="1"/>
      <color rgb="FF1F3864"/>
      <sz val="11"/>
    </font>
    <font>
      <name val="Arial"/>
      <color theme="1"/>
      <sz val="11"/>
    </font>
    <font>
      <name val="Arial"/>
      <i val="1"/>
      <color rgb="FF595959"/>
      <sz val="9"/>
    </font>
    <font>
      <name val="Calibri"/>
      <color rgb="FFFFE5A0"/>
      <sz val="11"/>
    </font>
    <font>
      <name val="Calibri"/>
      <color rgb="FF473821"/>
      <sz val="11"/>
    </font>
    <font>
      <name val="Calibri"/>
      <color rgb="FF5A3286"/>
      <sz val="11"/>
    </font>
    <font>
      <name val="Calibri"/>
      <color rgb="FF215A6C"/>
      <sz val="11"/>
    </font>
    <font>
      <name val="Arial"/>
      <b val="1"/>
      <color rgb="FF1F6B75"/>
      <sz val="10"/>
    </font>
    <font>
      <name val="Arial"/>
      <b val="1"/>
      <color rgb="FFC00000"/>
      <sz val="11"/>
    </font>
    <font>
      <name val="Arial"/>
      <i val="1"/>
      <color theme="1"/>
      <sz val="11"/>
    </font>
    <font>
      <name val="Arial"/>
      <b val="1"/>
      <color rgb="FF5C3292"/>
      <sz val="11"/>
    </font>
    <font>
      <name val="Arial"/>
      <b val="1"/>
      <color rgb="FF843C0C"/>
      <sz val="11"/>
    </font>
    <font>
      <name val="Arial"/>
      <b val="1"/>
      <color theme="1"/>
      <sz val="11"/>
    </font>
    <font>
      <name val="Arial"/>
      <b val="1"/>
      <color rgb="FF595959"/>
      <sz val="11"/>
    </font>
  </fonts>
  <fills count="28">
    <fill>
      <patternFill/>
    </fill>
    <fill>
      <patternFill patternType="lightGray"/>
    </fill>
    <fill>
      <patternFill patternType="solid">
        <fgColor rgb="FFF2F2F2"/>
        <bgColor rgb="FFF2F2F2"/>
      </patternFill>
    </fill>
    <fill>
      <patternFill patternType="solid">
        <fgColor rgb="FF7F6000"/>
        <bgColor rgb="FF7F6000"/>
      </patternFill>
    </fill>
    <fill>
      <patternFill patternType="solid">
        <fgColor rgb="FF1F3864"/>
        <bgColor rgb="FF1F3864"/>
      </patternFill>
    </fill>
    <fill>
      <patternFill patternType="solid">
        <fgColor rgb="FF2E75B6"/>
        <bgColor rgb="FF2E75B6"/>
      </patternFill>
    </fill>
    <fill>
      <patternFill patternType="solid">
        <fgColor rgb="FF375623"/>
        <bgColor rgb="FF375623"/>
      </patternFill>
    </fill>
    <fill>
      <patternFill patternType="solid">
        <fgColor rgb="FFFFF2CC"/>
        <bgColor rgb="FFFFF2CC"/>
      </patternFill>
    </fill>
    <fill>
      <patternFill patternType="solid">
        <fgColor rgb="FFDEEAF1"/>
        <bgColor rgb="FFDEEAF1"/>
      </patternFill>
    </fill>
    <fill>
      <patternFill patternType="solid">
        <fgColor rgb="FFC00000"/>
        <bgColor rgb="FFC00000"/>
      </patternFill>
    </fill>
    <fill>
      <patternFill patternType="solid">
        <fgColor rgb="FFBDD7EE"/>
        <bgColor rgb="FFBDD7EE"/>
      </patternFill>
    </fill>
    <fill>
      <patternFill patternType="solid">
        <fgColor rgb="FFBED5A9"/>
        <bgColor rgb="FFBED5A9"/>
      </patternFill>
    </fill>
    <fill>
      <patternFill patternType="solid">
        <fgColor rgb="FF11734B"/>
        <bgColor rgb="FF11734B"/>
      </patternFill>
    </fill>
    <fill>
      <patternFill patternType="solid">
        <fgColor rgb="FFFFFFFF"/>
        <bgColor rgb="FFFFFFFF"/>
      </patternFill>
    </fill>
    <fill>
      <patternFill patternType="solid">
        <fgColor rgb="FFFFCFC9"/>
        <bgColor rgb="FFFFCFC9"/>
      </patternFill>
    </fill>
    <fill>
      <patternFill patternType="solid">
        <fgColor rgb="FFE2EFDA"/>
        <bgColor rgb="FFE2EFDA"/>
      </patternFill>
    </fill>
    <fill>
      <patternFill patternType="solid">
        <fgColor rgb="FF843C0C"/>
        <bgColor rgb="FF843C0C"/>
      </patternFill>
    </fill>
    <fill>
      <patternFill patternType="solid">
        <fgColor rgb="FF753800"/>
        <bgColor rgb="FF753800"/>
      </patternFill>
    </fill>
    <fill>
      <patternFill patternType="solid">
        <fgColor rgb="FFFFE5A0"/>
        <bgColor rgb="FFFFE5A0"/>
      </patternFill>
    </fill>
    <fill>
      <patternFill patternType="solid">
        <fgColor rgb="FFE6CFF2"/>
        <bgColor rgb="FFE6CFF2"/>
      </patternFill>
    </fill>
    <fill>
      <patternFill patternType="solid">
        <fgColor rgb="FFC6DBE1"/>
        <bgColor rgb="FFC6DBE1"/>
      </patternFill>
    </fill>
    <fill>
      <patternFill patternType="solid">
        <fgColor rgb="FF1F6B75"/>
        <bgColor rgb="FF1F6B75"/>
      </patternFill>
    </fill>
    <fill>
      <patternFill patternType="solid">
        <fgColor rgb="FFD6EEF0"/>
        <bgColor rgb="FFD6EEF0"/>
      </patternFill>
    </fill>
    <fill>
      <patternFill patternType="solid">
        <fgColor rgb="FFFCE4D6"/>
        <bgColor rgb="FFFCE4D6"/>
      </patternFill>
    </fill>
    <fill>
      <patternFill patternType="solid">
        <fgColor rgb="FF5C3292"/>
        <bgColor rgb="FF5C3292"/>
      </patternFill>
    </fill>
    <fill>
      <patternFill patternType="solid">
        <fgColor rgb="FFEBE2F5"/>
        <bgColor rgb="FFEBE2F5"/>
      </patternFill>
    </fill>
    <fill>
      <patternFill patternType="solid">
        <fgColor rgb="FF595959"/>
        <bgColor rgb="FF595959"/>
      </patternFill>
    </fill>
    <fill>
      <patternFill patternType="solid">
        <fgColor rgb="FFFAF9F9"/>
        <bgColor rgb="FFFAF9F9"/>
      </patternFill>
    </fill>
  </fills>
  <borders count="10">
    <border/>
    <border>
      <left/>
      <right/>
      <top/>
      <bottom/>
    </border>
    <border>
      <left style="thin">
        <color rgb="FFAAAAAA"/>
      </left>
      <right style="thin">
        <color rgb="FFAAAAAA"/>
      </right>
      <top style="thin">
        <color rgb="FFAAAAAA"/>
      </top>
      <bottom style="thin">
        <color rgb="FFAAAAAA"/>
      </bottom>
    </border>
    <border>
      <left style="thin">
        <color rgb="FFCCCCCC"/>
      </left>
      <right style="thin">
        <color rgb="FFCCCCCC"/>
      </right>
      <top style="thin">
        <color rgb="FFCCCCCC"/>
      </top>
      <bottom style="thin">
        <color rgb="FFCCCCCC"/>
      </bottom>
    </border>
    <border>
      <left/>
      <top/>
      <bottom/>
    </border>
    <border>
      <top/>
      <bottom/>
    </border>
    <border>
      <right/>
      <top/>
      <bottom/>
    </border>
    <border>
      <left style="thin">
        <color rgb="FFC4C7C5"/>
      </left>
      <right style="thin">
        <color rgb="FFC4C7C5"/>
      </right>
      <top style="thin">
        <color rgb="FFC4C7C5"/>
      </top>
      <bottom style="thin">
        <color rgb="FFC4C7C5"/>
      </bottom>
    </border>
    <border>
      <left style="thin">
        <color rgb="FFC4C7C5"/>
      </left>
      <top style="thin">
        <color rgb="FFC4C7C5"/>
      </top>
      <bottom style="thin">
        <color rgb="FFC4C7C5"/>
      </bottom>
    </border>
    <border>
      <left style="thin">
        <color rgb="FFCCCCCC"/>
      </left>
      <right style="thin">
        <color rgb="FFCCCCCC"/>
      </right>
      <top style="thin">
        <color rgb="FFCCCCCC"/>
      </top>
      <bottom/>
    </border>
  </borders>
  <cellStyleXfs count="1">
    <xf numFmtId="0" fontId="0" fillId="0" borderId="0"/>
  </cellStyleXfs>
  <cellXfs count="121">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left" vertical="center"/>
    </xf>
    <xf numFmtId="0" fontId="2" fillId="0" borderId="0" pivotButton="0" quotePrefix="0" xfId="0"/>
    <xf numFmtId="0" fontId="3" fillId="0" borderId="0" pivotButton="0" quotePrefix="0" xfId="0"/>
    <xf numFmtId="0" fontId="4" fillId="0" borderId="0" applyAlignment="1" pivotButton="0" quotePrefix="0" xfId="0">
      <alignment horizontal="left" vertical="center"/>
    </xf>
    <xf numFmtId="0" fontId="4" fillId="0" borderId="0" pivotButton="0" quotePrefix="0" xfId="0"/>
    <xf numFmtId="0" fontId="4" fillId="2" borderId="1" applyAlignment="1" pivotButton="0" quotePrefix="0" xfId="0">
      <alignment horizontal="center" wrapText="1"/>
    </xf>
    <xf numFmtId="0" fontId="5" fillId="3" borderId="2" applyAlignment="1" pivotButton="0" quotePrefix="0" xfId="0">
      <alignment horizontal="center" vertical="center" wrapText="1"/>
    </xf>
    <xf numFmtId="0" fontId="5" fillId="4" borderId="2" applyAlignment="1" pivotButton="0" quotePrefix="0" xfId="0">
      <alignment horizontal="center" vertical="center" wrapText="1"/>
    </xf>
    <xf numFmtId="0" fontId="6" fillId="5" borderId="1" applyAlignment="1" pivotButton="0" quotePrefix="0" xfId="0">
      <alignment horizontal="center"/>
    </xf>
    <xf numFmtId="0" fontId="7" fillId="6" borderId="1" applyAlignment="1" pivotButton="0" quotePrefix="0" xfId="0">
      <alignment horizontal="center" wrapText="1"/>
    </xf>
    <xf numFmtId="0" fontId="6" fillId="6" borderId="1" applyAlignment="1" pivotButton="0" quotePrefix="0" xfId="0">
      <alignment horizontal="center"/>
    </xf>
    <xf numFmtId="0" fontId="7" fillId="6" borderId="2" applyAlignment="1" pivotButton="0" quotePrefix="0" xfId="0">
      <alignment horizontal="center" wrapText="1"/>
    </xf>
    <xf numFmtId="0" fontId="6" fillId="3" borderId="1" applyAlignment="1" pivotButton="0" quotePrefix="0" xfId="0">
      <alignment horizontal="center"/>
    </xf>
    <xf numFmtId="0" fontId="6" fillId="4" borderId="1" applyAlignment="1" pivotButton="0" quotePrefix="0" xfId="0">
      <alignment horizontal="center"/>
    </xf>
    <xf numFmtId="0" fontId="8" fillId="7" borderId="3" applyAlignment="1" pivotButton="0" quotePrefix="0" xfId="0">
      <alignment horizontal="center" vertical="center" wrapText="1"/>
    </xf>
    <xf numFmtId="0" fontId="5" fillId="5" borderId="4" applyAlignment="1" pivotButton="0" quotePrefix="0" xfId="0">
      <alignment horizontal="left" vertical="center"/>
    </xf>
    <xf numFmtId="0" fontId="9" fillId="0" borderId="5" pivotButton="0" quotePrefix="0" xfId="0"/>
    <xf numFmtId="0" fontId="10" fillId="8" borderId="3" applyAlignment="1" pivotButton="0" quotePrefix="0" xfId="0">
      <alignment horizontal="center" vertical="center" wrapText="1"/>
    </xf>
    <xf numFmtId="0" fontId="6" fillId="9" borderId="1" applyAlignment="1" pivotButton="0" quotePrefix="0" xfId="0">
      <alignment horizontal="center"/>
    </xf>
    <xf numFmtId="0" fontId="9" fillId="0" borderId="6" pivotButton="0" quotePrefix="0" xfId="0"/>
    <xf numFmtId="0" fontId="11" fillId="8" borderId="3" applyAlignment="1" pivotButton="0" quotePrefix="0" xfId="0">
      <alignment horizontal="left" vertical="center" wrapText="1"/>
    </xf>
    <xf numFmtId="0" fontId="10" fillId="8" borderId="3" applyAlignment="1" pivotButton="0" quotePrefix="0" xfId="0">
      <alignment horizontal="left" vertical="center" wrapText="1"/>
    </xf>
    <xf numFmtId="0" fontId="12" fillId="7" borderId="3" applyAlignment="1" pivotButton="0" quotePrefix="0" xfId="0">
      <alignment horizontal="center" vertical="center" wrapText="1"/>
    </xf>
    <xf numFmtId="0" fontId="13" fillId="10" borderId="3" applyAlignment="1" pivotButton="0" quotePrefix="0" xfId="0">
      <alignment horizontal="center" vertical="center" wrapText="1"/>
    </xf>
    <xf numFmtId="0" fontId="14" fillId="8" borderId="1" applyAlignment="1" pivotButton="0" quotePrefix="0" xfId="0">
      <alignment horizontal="center" wrapText="1"/>
    </xf>
    <xf numFmtId="0" fontId="15" fillId="0" borderId="7" applyAlignment="1" pivotButton="0" quotePrefix="0" xfId="0">
      <alignment wrapText="1"/>
    </xf>
    <xf numFmtId="0" fontId="10" fillId="2" borderId="3" applyAlignment="1" pivotButton="0" quotePrefix="0" xfId="0">
      <alignment horizontal="center" vertical="center" wrapText="1"/>
    </xf>
    <xf numFmtId="0" fontId="16" fillId="11" borderId="3" applyAlignment="1" pivotButton="0" quotePrefix="0" xfId="0">
      <alignment horizontal="center" wrapText="1"/>
    </xf>
    <xf numFmtId="0" fontId="17" fillId="0" borderId="7" applyAlignment="1" pivotButton="0" quotePrefix="0" xfId="0">
      <alignment wrapText="1"/>
    </xf>
    <xf numFmtId="0" fontId="17" fillId="0" borderId="7" applyAlignment="1" pivotButton="0" quotePrefix="0" xfId="0">
      <alignment horizontal="center" wrapText="1"/>
    </xf>
    <xf numFmtId="0" fontId="18" fillId="12" borderId="3" applyAlignment="1" pivotButton="0" quotePrefix="0" xfId="0">
      <alignment horizontal="center" wrapText="1"/>
    </xf>
    <xf numFmtId="164" fontId="10" fillId="7" borderId="3" applyAlignment="1" pivotButton="0" quotePrefix="0" xfId="0">
      <alignment horizontal="center" vertical="center" wrapText="1"/>
    </xf>
    <xf numFmtId="0" fontId="1" fillId="13" borderId="3" pivotButton="0" quotePrefix="0" xfId="0"/>
    <xf numFmtId="0" fontId="19" fillId="14" borderId="3" applyAlignment="1" pivotButton="0" quotePrefix="0" xfId="0">
      <alignment horizontal="center" wrapText="1"/>
    </xf>
    <xf numFmtId="0" fontId="1" fillId="8" borderId="3" applyAlignment="1" pivotButton="0" quotePrefix="0" xfId="0">
      <alignment wrapText="1"/>
    </xf>
    <xf numFmtId="0" fontId="1" fillId="8" borderId="3" pivotButton="0" quotePrefix="0" xfId="0"/>
    <xf numFmtId="0" fontId="1" fillId="15" borderId="3" applyAlignment="1" pivotButton="0" quotePrefix="0" xfId="0">
      <alignment horizontal="center" wrapText="1"/>
    </xf>
    <xf numFmtId="0" fontId="1" fillId="2" borderId="3" applyAlignment="1" pivotButton="0" quotePrefix="0" xfId="0">
      <alignment horizontal="center" vertical="center" wrapText="1"/>
    </xf>
    <xf numFmtId="0" fontId="14" fillId="13" borderId="1" applyAlignment="1" pivotButton="0" quotePrefix="0" xfId="0">
      <alignment horizontal="center" wrapText="1"/>
    </xf>
    <xf numFmtId="0" fontId="6" fillId="16" borderId="1" applyAlignment="1" pivotButton="0" quotePrefix="0" xfId="0">
      <alignment horizontal="center"/>
    </xf>
    <xf numFmtId="0" fontId="20" fillId="0" borderId="0" pivotButton="0" quotePrefix="0" xfId="0"/>
    <xf numFmtId="0" fontId="10" fillId="13" borderId="3" applyAlignment="1" pivotButton="0" quotePrefix="0" xfId="0">
      <alignment horizontal="left" vertical="center" wrapText="1"/>
    </xf>
    <xf numFmtId="0" fontId="21" fillId="4" borderId="2" applyAlignment="1" pivotButton="0" quotePrefix="0" xfId="0">
      <alignment horizontal="center" wrapText="1"/>
    </xf>
    <xf numFmtId="0" fontId="10" fillId="13" borderId="3" applyAlignment="1" pivotButton="0" quotePrefix="0" xfId="0">
      <alignment horizontal="center" vertical="center" wrapText="1"/>
    </xf>
    <xf numFmtId="0" fontId="22" fillId="8" borderId="3" applyAlignment="1" pivotButton="0" quotePrefix="0" xfId="0">
      <alignment wrapText="1"/>
    </xf>
    <xf numFmtId="0" fontId="23" fillId="8" borderId="3" applyAlignment="1" pivotButton="0" quotePrefix="0" xfId="0">
      <alignment wrapText="1"/>
    </xf>
    <xf numFmtId="0" fontId="23" fillId="8" borderId="3" applyAlignment="1" pivotButton="0" quotePrefix="0" xfId="0">
      <alignment horizontal="center" wrapText="1"/>
    </xf>
    <xf numFmtId="0" fontId="23" fillId="15" borderId="3" applyAlignment="1" pivotButton="0" quotePrefix="0" xfId="0">
      <alignment horizontal="center" wrapText="1"/>
    </xf>
    <xf numFmtId="0" fontId="22" fillId="13" borderId="3" applyAlignment="1" pivotButton="0" quotePrefix="0" xfId="0">
      <alignment wrapText="1"/>
    </xf>
    <xf numFmtId="0" fontId="23" fillId="13" borderId="3" applyAlignment="1" pivotButton="0" quotePrefix="0" xfId="0">
      <alignment wrapText="1"/>
    </xf>
    <xf numFmtId="0" fontId="23" fillId="13" borderId="3" applyAlignment="1" pivotButton="0" quotePrefix="0" xfId="0">
      <alignment horizontal="center" wrapText="1"/>
    </xf>
    <xf numFmtId="0" fontId="1" fillId="7" borderId="3" applyAlignment="1" pivotButton="0" quotePrefix="0" xfId="0">
      <alignment horizontal="center" wrapText="1"/>
    </xf>
    <xf numFmtId="0" fontId="21" fillId="5" borderId="2" applyAlignment="1" pivotButton="0" quotePrefix="0" xfId="0">
      <alignment horizontal="center" wrapText="1"/>
    </xf>
    <xf numFmtId="165" fontId="1" fillId="13" borderId="3" pivotButton="0" quotePrefix="0" xfId="0"/>
    <xf numFmtId="165" fontId="1" fillId="8" borderId="3" pivotButton="0" quotePrefix="0" xfId="0"/>
    <xf numFmtId="0" fontId="24" fillId="2" borderId="4" applyAlignment="1" pivotButton="0" quotePrefix="0" xfId="0">
      <alignment horizontal="center" wrapText="1"/>
    </xf>
    <xf numFmtId="0" fontId="25" fillId="17" borderId="3" applyAlignment="1" pivotButton="0" quotePrefix="0" xfId="0">
      <alignment horizontal="center" wrapText="1"/>
    </xf>
    <xf numFmtId="0" fontId="26" fillId="18" borderId="3" applyAlignment="1" pivotButton="0" quotePrefix="0" xfId="0">
      <alignment horizontal="center" wrapText="1"/>
    </xf>
    <xf numFmtId="0" fontId="27" fillId="19" borderId="3" applyAlignment="1" pivotButton="0" quotePrefix="0" xfId="0">
      <alignment horizontal="center" wrapText="1"/>
    </xf>
    <xf numFmtId="0" fontId="1" fillId="2" borderId="3" applyAlignment="1" pivotButton="0" quotePrefix="0" xfId="0">
      <alignment horizontal="center" wrapText="1"/>
    </xf>
    <xf numFmtId="0" fontId="1" fillId="8" borderId="1" pivotButton="0" quotePrefix="0" xfId="0"/>
    <xf numFmtId="0" fontId="25" fillId="17" borderId="1" applyAlignment="1" pivotButton="0" quotePrefix="0" xfId="0">
      <alignment horizontal="center" wrapText="1"/>
    </xf>
    <xf numFmtId="0" fontId="17" fillId="0" borderId="8" applyAlignment="1" pivotButton="0" quotePrefix="0" xfId="0">
      <alignment horizontal="center" wrapText="1"/>
    </xf>
    <xf numFmtId="0" fontId="19" fillId="14" borderId="9" applyAlignment="1" pivotButton="0" quotePrefix="0" xfId="0">
      <alignment horizontal="center" wrapText="1"/>
    </xf>
    <xf numFmtId="0" fontId="1" fillId="13" borderId="9" pivotButton="0" quotePrefix="0" xfId="0"/>
    <xf numFmtId="0" fontId="1" fillId="15" borderId="9" applyAlignment="1" pivotButton="0" quotePrefix="0" xfId="0">
      <alignment horizontal="center" wrapText="1"/>
    </xf>
    <xf numFmtId="0" fontId="18" fillId="12" borderId="1" applyAlignment="1" pivotButton="0" quotePrefix="0" xfId="0">
      <alignment horizontal="center" wrapText="1"/>
    </xf>
    <xf numFmtId="0" fontId="28" fillId="20" borderId="9" applyAlignment="1" pivotButton="0" quotePrefix="0" xfId="0">
      <alignment horizontal="center" wrapText="1"/>
    </xf>
    <xf numFmtId="0" fontId="1" fillId="2" borderId="9" applyAlignment="1" pivotButton="0" quotePrefix="0" xfId="0">
      <alignment horizontal="center" wrapText="1"/>
    </xf>
    <xf numFmtId="0" fontId="27" fillId="19" borderId="1" applyAlignment="1" pivotButton="0" quotePrefix="0" xfId="0">
      <alignment horizontal="center" wrapText="1"/>
    </xf>
    <xf numFmtId="0" fontId="27" fillId="19" borderId="9" applyAlignment="1" pivotButton="0" quotePrefix="0" xfId="0">
      <alignment horizontal="center" wrapText="1"/>
    </xf>
    <xf numFmtId="0" fontId="1" fillId="13" borderId="9" applyAlignment="1" pivotButton="0" quotePrefix="0" xfId="0">
      <alignment wrapText="1"/>
    </xf>
    <xf numFmtId="0" fontId="1" fillId="13" borderId="9" pivotButton="0" quotePrefix="0" xfId="0"/>
    <xf numFmtId="0" fontId="1" fillId="7" borderId="9" applyAlignment="1" pivotButton="0" quotePrefix="0" xfId="0">
      <alignment horizontal="center" wrapText="1"/>
    </xf>
    <xf numFmtId="0" fontId="17" fillId="0" borderId="8" applyAlignment="1" pivotButton="0" quotePrefix="0" xfId="0">
      <alignment horizontal="center" wrapText="1"/>
    </xf>
    <xf numFmtId="0" fontId="22" fillId="0" borderId="0" pivotButton="0" quotePrefix="0" xfId="0"/>
    <xf numFmtId="0" fontId="1" fillId="6" borderId="1" pivotButton="0" quotePrefix="0" xfId="0"/>
    <xf numFmtId="0" fontId="21" fillId="6" borderId="2" applyAlignment="1" pivotButton="0" quotePrefix="0" xfId="0">
      <alignment horizontal="center" wrapText="1"/>
    </xf>
    <xf numFmtId="0" fontId="1" fillId="13" borderId="1" pivotButton="0" quotePrefix="0" xfId="0"/>
    <xf numFmtId="0" fontId="1" fillId="13" borderId="3" applyAlignment="1" pivotButton="0" quotePrefix="0" xfId="0">
      <alignment horizontal="right"/>
    </xf>
    <xf numFmtId="0" fontId="1" fillId="8" borderId="3" applyAlignment="1" pivotButton="0" quotePrefix="0" xfId="0">
      <alignment horizontal="right"/>
    </xf>
    <xf numFmtId="0" fontId="1" fillId="4" borderId="1" pivotButton="0" quotePrefix="0" xfId="0"/>
    <xf numFmtId="0" fontId="21" fillId="4" borderId="2" applyAlignment="1" pivotButton="0" quotePrefix="0" xfId="0">
      <alignment wrapText="1"/>
    </xf>
    <xf numFmtId="0" fontId="5" fillId="21" borderId="2" applyAlignment="1" pivotButton="0" quotePrefix="0" xfId="0">
      <alignment horizontal="center" vertical="center" wrapText="1"/>
    </xf>
    <xf numFmtId="0" fontId="29" fillId="22" borderId="3" applyAlignment="1" pivotButton="0" quotePrefix="0" xfId="0">
      <alignment horizontal="center" vertical="center" wrapText="1"/>
    </xf>
    <xf numFmtId="0" fontId="10" fillId="22" borderId="3" applyAlignment="1" pivotButton="0" quotePrefix="0" xfId="0">
      <alignment horizontal="center" vertical="center" wrapText="1"/>
    </xf>
    <xf numFmtId="0" fontId="10" fillId="22" borderId="3" applyAlignment="1" pivotButton="0" quotePrefix="0" xfId="0">
      <alignment horizontal="left" vertical="center" wrapText="1"/>
    </xf>
    <xf numFmtId="0" fontId="10" fillId="7" borderId="3" applyAlignment="1" pivotButton="0" quotePrefix="0" xfId="0">
      <alignment horizontal="center" vertical="center" wrapText="1"/>
    </xf>
    <xf numFmtId="0" fontId="10" fillId="22" borderId="3" pivotButton="0" quotePrefix="0" xfId="0"/>
    <xf numFmtId="0" fontId="5" fillId="4" borderId="2" pivotButton="0" quotePrefix="0" xfId="0"/>
    <xf numFmtId="0" fontId="21" fillId="9" borderId="2" applyAlignment="1" pivotButton="0" quotePrefix="0" xfId="0">
      <alignment horizontal="center" wrapText="1"/>
    </xf>
    <xf numFmtId="0" fontId="30" fillId="23" borderId="3" applyAlignment="1" pivotButton="0" quotePrefix="0" xfId="0">
      <alignment horizontal="center" wrapText="1"/>
    </xf>
    <xf numFmtId="0" fontId="23" fillId="23" borderId="3" applyAlignment="1" pivotButton="0" quotePrefix="0" xfId="0">
      <alignment horizontal="center" wrapText="1"/>
    </xf>
    <xf numFmtId="0" fontId="31" fillId="23" borderId="3" applyAlignment="1" pivotButton="0" quotePrefix="0" xfId="0">
      <alignment wrapText="1"/>
    </xf>
    <xf numFmtId="0" fontId="23" fillId="23" borderId="3" applyAlignment="1" pivotButton="0" quotePrefix="0" xfId="0">
      <alignment wrapText="1"/>
    </xf>
    <xf numFmtId="0" fontId="1" fillId="23" borderId="3" pivotButton="0" quotePrefix="0" xfId="0"/>
    <xf numFmtId="0" fontId="23" fillId="7" borderId="3" applyAlignment="1" pivotButton="0" quotePrefix="0" xfId="0">
      <alignment horizontal="center" wrapText="1"/>
    </xf>
    <xf numFmtId="0" fontId="21" fillId="24" borderId="2" applyAlignment="1" pivotButton="0" quotePrefix="0" xfId="0">
      <alignment horizontal="center" wrapText="1"/>
    </xf>
    <xf numFmtId="0" fontId="32" fillId="25" borderId="3" applyAlignment="1" pivotButton="0" quotePrefix="0" xfId="0">
      <alignment horizontal="center" wrapText="1"/>
    </xf>
    <xf numFmtId="0" fontId="23" fillId="25" borderId="3" applyAlignment="1" pivotButton="0" quotePrefix="0" xfId="0">
      <alignment horizontal="center" wrapText="1"/>
    </xf>
    <xf numFmtId="0" fontId="31" fillId="25" borderId="3" applyAlignment="1" pivotButton="0" quotePrefix="0" xfId="0">
      <alignment wrapText="1"/>
    </xf>
    <xf numFmtId="0" fontId="23" fillId="25" borderId="3" applyAlignment="1" pivotButton="0" quotePrefix="0" xfId="0">
      <alignment wrapText="1"/>
    </xf>
    <xf numFmtId="0" fontId="1" fillId="25" borderId="3" pivotButton="0" quotePrefix="0" xfId="0"/>
    <xf numFmtId="0" fontId="21" fillId="16" borderId="2" applyAlignment="1" pivotButton="0" quotePrefix="0" xfId="0">
      <alignment horizontal="center" wrapText="1"/>
    </xf>
    <xf numFmtId="0" fontId="33" fillId="23" borderId="3" applyAlignment="1" pivotButton="0" quotePrefix="0" xfId="0">
      <alignment horizontal="center" wrapText="1"/>
    </xf>
    <xf numFmtId="0" fontId="34" fillId="7" borderId="3" applyAlignment="1" pivotButton="0" quotePrefix="0" xfId="0">
      <alignment horizontal="center" wrapText="1"/>
    </xf>
    <xf numFmtId="0" fontId="34" fillId="15" borderId="3" applyAlignment="1" pivotButton="0" quotePrefix="0" xfId="0">
      <alignment horizontal="center" wrapText="1"/>
    </xf>
    <xf numFmtId="0" fontId="21" fillId="26" borderId="2" applyAlignment="1" pivotButton="0" quotePrefix="0" xfId="0">
      <alignment horizontal="center" wrapText="1"/>
    </xf>
    <xf numFmtId="0" fontId="35" fillId="2" borderId="3" applyAlignment="1" pivotButton="0" quotePrefix="0" xfId="0">
      <alignment horizontal="center" wrapText="1"/>
    </xf>
    <xf numFmtId="0" fontId="23" fillId="2" borderId="3" applyAlignment="1" pivotButton="0" quotePrefix="0" xfId="0">
      <alignment horizontal="center" wrapText="1"/>
    </xf>
    <xf numFmtId="0" fontId="31" fillId="2" borderId="3" applyAlignment="1" pivotButton="0" quotePrefix="0" xfId="0">
      <alignment wrapText="1"/>
    </xf>
    <xf numFmtId="0" fontId="23" fillId="2" borderId="3" applyAlignment="1" pivotButton="0" quotePrefix="0" xfId="0">
      <alignment wrapText="1"/>
    </xf>
    <xf numFmtId="0" fontId="1" fillId="2" borderId="3" pivotButton="0" quotePrefix="0" xfId="0"/>
    <xf numFmtId="0" fontId="1" fillId="7" borderId="3" pivotButton="0" quotePrefix="0" xfId="0"/>
    <xf numFmtId="0" fontId="1" fillId="2" borderId="3" applyAlignment="1" pivotButton="0" quotePrefix="0" xfId="0">
      <alignment horizontal="right"/>
    </xf>
    <xf numFmtId="0" fontId="1" fillId="27" borderId="1" pivotButton="0" quotePrefix="0" xfId="0"/>
    <xf numFmtId="0" fontId="0" fillId="0" borderId="0" pivotButton="0" quotePrefix="0" xfId="0"/>
    <xf numFmtId="0" fontId="24" fillId="2" borderId="1" applyAlignment="1" pivotButton="0" quotePrefix="0" xfId="0">
      <alignment horizontal="center" wrapText="1"/>
    </xf>
    <xf numFmtId="0" fontId="5" fillId="5" borderId="1" applyAlignment="1" pivotButton="0" quotePrefix="0" xfId="0">
      <alignment horizontal="left" vertical="center"/>
    </xf>
  </cellXfs>
  <cellStyles count="1">
    <cellStyle name="Normal" xfId="0" builtinId="0"/>
  </cellStyles>
  <dxfs count="5">
    <dxf>
      <font/>
      <fill>
        <patternFill patternType="solid">
          <fgColor rgb="FFE2EFDA"/>
          <bgColor rgb="FFE2EFDA"/>
        </patternFill>
      </fill>
      <border/>
    </dxf>
    <dxf>
      <font/>
      <fill>
        <patternFill patternType="solid">
          <fgColor rgb="FFFFF2CC"/>
          <bgColor rgb="FFFFF2CC"/>
        </patternFill>
      </fill>
      <border/>
    </dxf>
    <dxf>
      <font/>
      <fill>
        <patternFill patternType="solid">
          <fgColor rgb="FFFCE4D6"/>
          <bgColor rgb="FFFCE4D6"/>
        </patternFill>
      </fill>
      <border/>
    </dxf>
    <dxf>
      <font/>
      <fill>
        <patternFill patternType="solid">
          <fgColor rgb="FFF2F2F2"/>
          <bgColor rgb="FFF2F2F2"/>
        </patternFill>
      </fill>
      <border/>
    </dxf>
    <dxf>
      <font/>
      <fill>
        <patternFill patternType="solid">
          <fgColor rgb="FFD6EEF0"/>
          <bgColor rgb="FFD6EEF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1F3864"/>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29" customWidth="1" style="118" min="1" max="1"/>
    <col width="25.14" customWidth="1" style="118" min="2" max="2"/>
    <col width="46" customWidth="1" style="118" min="3" max="3"/>
    <col width="16" customWidth="1" style="118" min="4" max="7"/>
    <col width="25.14" customWidth="1" style="118" min="8" max="8"/>
    <col width="10" customWidth="1" style="118" min="9" max="26"/>
  </cols>
  <sheetData>
    <row r="1" ht="14.25" customHeight="1" s="118">
      <c r="A1" s="1" t="n"/>
      <c r="B1" s="4" t="inlineStr">
        <is>
          <t>[Project Name] — Project Tracking Dashboard</t>
        </is>
      </c>
      <c r="I1" s="1" t="n"/>
      <c r="J1" s="1" t="n"/>
      <c r="K1" s="1" t="n"/>
      <c r="L1" s="1" t="n"/>
      <c r="M1" s="1" t="n"/>
      <c r="N1" s="1" t="n"/>
      <c r="O1" s="1" t="n"/>
      <c r="P1" s="1" t="n"/>
      <c r="Q1" s="1" t="n"/>
      <c r="R1" s="1" t="n"/>
      <c r="S1" s="1" t="n"/>
      <c r="T1" s="1" t="n"/>
      <c r="U1" s="1" t="n"/>
      <c r="V1" s="1" t="n"/>
      <c r="W1" s="1" t="n"/>
      <c r="X1" s="1" t="n"/>
      <c r="Y1" s="1" t="n"/>
      <c r="Z1" s="1" t="n"/>
    </row>
    <row r="2" ht="14.25" customHeight="1" s="118">
      <c r="A2" s="1" t="n"/>
      <c r="B2" s="6" t="inlineStr">
        <is>
          <t>Auto-summary from all tracking sheets  ·  Update data in individual sheets</t>
        </is>
      </c>
      <c r="I2" s="1" t="n"/>
      <c r="J2" s="1" t="n"/>
      <c r="K2" s="1" t="n"/>
      <c r="L2" s="1" t="n"/>
      <c r="M2" s="1" t="n"/>
      <c r="N2" s="1" t="n"/>
      <c r="O2" s="1" t="n"/>
      <c r="P2" s="1" t="n"/>
      <c r="Q2" s="1" t="n"/>
      <c r="R2" s="1" t="n"/>
      <c r="S2" s="1" t="n"/>
      <c r="T2" s="1" t="n"/>
      <c r="U2" s="1" t="n"/>
      <c r="V2" s="1" t="n"/>
      <c r="W2" s="1" t="n"/>
      <c r="X2" s="1" t="n"/>
      <c r="Y2" s="1" t="n"/>
      <c r="Z2" s="1" t="n"/>
    </row>
    <row r="3" ht="14.25" customHeight="1" s="118">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25" customHeight="1" s="118">
      <c r="A4" s="1" t="n"/>
      <c r="B4" s="7" t="inlineStr">
        <is>
          <t>Total Deliverables</t>
        </is>
      </c>
      <c r="C4" s="7" t="inlineStr">
        <is>
          <t>Done / Closed</t>
        </is>
      </c>
      <c r="D4" s="7" t="inlineStr">
        <is>
          <t>In Progress</t>
        </is>
      </c>
      <c r="E4" s="7" t="inlineStr">
        <is>
          <t>Not Started</t>
        </is>
      </c>
      <c r="F4" s="7" t="inlineStr">
        <is>
          <t>Open Issues</t>
        </is>
      </c>
      <c r="G4" s="7" t="inlineStr">
        <is>
          <t>Open Defects</t>
        </is>
      </c>
      <c r="H4" s="1" t="n"/>
      <c r="I4" s="1" t="n"/>
      <c r="J4" s="1" t="n"/>
      <c r="K4" s="1" t="n"/>
      <c r="L4" s="1" t="n"/>
      <c r="M4" s="1" t="n"/>
      <c r="N4" s="1" t="n"/>
      <c r="O4" s="1" t="n"/>
      <c r="P4" s="1" t="n"/>
      <c r="Q4" s="1" t="n"/>
      <c r="R4" s="1" t="n"/>
      <c r="S4" s="1" t="n"/>
      <c r="T4" s="1" t="n"/>
      <c r="U4" s="1" t="n"/>
      <c r="V4" s="1" t="n"/>
      <c r="W4" s="1" t="n"/>
      <c r="X4" s="1" t="n"/>
      <c r="Y4" s="1" t="n"/>
      <c r="Z4" s="1" t="n"/>
    </row>
    <row r="5">
      <c r="A5" s="1" t="n"/>
      <c r="B5" s="10">
        <f>COUNTA(Scope!B5:B200)</f>
        <v/>
      </c>
      <c r="C5" s="12">
        <f>COUNTIF(Scope!G5:G200,"Done")+COUNTIF(Scope!G5:G200,"Completed")</f>
        <v/>
      </c>
      <c r="D5" s="14">
        <f>COUNTIF(Scope!G5:G200,"In Progress")</f>
        <v/>
      </c>
      <c r="E5" s="15">
        <f>COUNTIF(Scope!G5:G200,"Not Started")</f>
        <v/>
      </c>
      <c r="F5" s="20">
        <f>COUNTIFS(Issues!K5:K200,"Open",Issues!C5:C200,"&lt;&gt;")</f>
        <v/>
      </c>
      <c r="G5" s="20">
        <f>COUNTIFS(Defects!$N$5:$N$1000,"Open",Defects!$C$5:$C$1000,"&lt;&gt;")+COUNTIFS(Defects!$N$5:$N$1000,"Pending",Defects!$C$5:$C$1000,"&lt;&gt;")</f>
        <v/>
      </c>
      <c r="H5" s="1" t="n"/>
      <c r="I5" s="1" t="n"/>
      <c r="J5" s="1" t="n"/>
      <c r="K5" s="1" t="n"/>
      <c r="L5" s="1" t="n"/>
      <c r="M5" s="1" t="n"/>
      <c r="N5" s="1" t="n"/>
      <c r="O5" s="1" t="n"/>
      <c r="P5" s="1" t="n"/>
      <c r="Q5" s="1" t="n"/>
      <c r="R5" s="1" t="n"/>
      <c r="S5" s="1" t="n"/>
      <c r="T5" s="1" t="n"/>
      <c r="U5" s="1" t="n"/>
      <c r="V5" s="1" t="n"/>
      <c r="W5" s="1" t="n"/>
      <c r="X5" s="1" t="n"/>
      <c r="Y5" s="1" t="n"/>
      <c r="Z5" s="1" t="n"/>
    </row>
    <row r="6" ht="14.25" customHeight="1" s="118">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118">
      <c r="A7" s="1" t="n"/>
      <c r="B7" s="7" t="inlineStr">
        <is>
          <t>Open Issues</t>
        </is>
      </c>
      <c r="C7" s="7" t="inlineStr">
        <is>
          <t>Open Defects</t>
        </is>
      </c>
      <c r="D7" s="7" t="inlineStr">
        <is>
          <t>Unanswered Q&amp;As</t>
        </is>
      </c>
      <c r="E7" s="7" t="inlineStr">
        <is>
          <t>High/Critical Risks</t>
        </is>
      </c>
      <c r="F7" s="1" t="n"/>
      <c r="G7" s="1" t="n"/>
      <c r="H7" s="1" t="n"/>
      <c r="I7" s="1" t="n"/>
      <c r="J7" s="1" t="n"/>
      <c r="K7" s="1" t="n"/>
      <c r="L7" s="1" t="n"/>
      <c r="M7" s="1" t="n"/>
      <c r="N7" s="1" t="n"/>
      <c r="O7" s="1" t="n"/>
      <c r="P7" s="1" t="n"/>
      <c r="Q7" s="1" t="n"/>
      <c r="R7" s="1" t="n"/>
      <c r="S7" s="1" t="n"/>
      <c r="T7" s="1" t="n"/>
      <c r="U7" s="1" t="n"/>
      <c r="V7" s="1" t="n"/>
      <c r="W7" s="1" t="n"/>
      <c r="X7" s="1" t="n"/>
      <c r="Y7" s="1" t="n"/>
      <c r="Z7" s="1" t="n"/>
    </row>
    <row r="8">
      <c r="A8" s="1" t="n"/>
      <c r="B8" s="20">
        <f>COUNTIFS(Issues!K5:K200,"Open",Issues!C5:C200,"&lt;&gt;")</f>
        <v/>
      </c>
      <c r="C8" s="20">
        <f>COUNTIFS(Defects!$N$5:$N$1000,"Open",Defects!$C$5:$C$1000,"&lt;&gt;")+COUNTIFS(Defects!$N$5:$N$1000,"Pending",Defects!$C$5:$C$1000,"&lt;&gt;")</f>
        <v/>
      </c>
      <c r="D8" s="14">
        <f>COUNTIFS('Q&amp;A'!K5:K200,"Open",'Q&amp;A'!C5:C200,"&lt;&gt;")</f>
        <v/>
      </c>
      <c r="E8" s="41">
        <f>COUNTIF(Risks!$F$6:$F$1000,"&gt;=4")</f>
        <v/>
      </c>
      <c r="F8" s="1" t="n"/>
      <c r="G8" s="1" t="n"/>
      <c r="H8" s="1" t="n"/>
      <c r="I8" s="1" t="n"/>
      <c r="J8" s="1" t="n"/>
      <c r="K8" s="1" t="n"/>
      <c r="L8" s="1" t="n"/>
      <c r="M8" s="1" t="n"/>
      <c r="N8" s="1" t="n"/>
      <c r="O8" s="1" t="n"/>
      <c r="P8" s="1" t="n"/>
      <c r="Q8" s="1" t="n"/>
      <c r="R8" s="1" t="n"/>
      <c r="S8" s="1" t="n"/>
      <c r="T8" s="1" t="n"/>
      <c r="U8" s="1" t="n"/>
      <c r="V8" s="1" t="n"/>
      <c r="W8" s="1" t="n"/>
      <c r="X8" s="1" t="n"/>
      <c r="Y8" s="1" t="n"/>
      <c r="Z8" s="1" t="n"/>
    </row>
    <row r="9" ht="14.25" customHeight="1" s="118">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4.25" customHeight="1" s="118">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118">
      <c r="A11" s="1" t="n"/>
      <c r="B11" s="42" t="inlineStr">
        <is>
          <t>Scope Milestone Status</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4.25" customHeight="1" s="118">
      <c r="A12" s="1" t="n"/>
      <c r="B12" s="44" t="inlineStr">
        <is>
          <t>Stage</t>
        </is>
      </c>
      <c r="C12" s="44" t="inlineStr">
        <is>
          <t>Key Deliverable</t>
        </is>
      </c>
      <c r="D12" s="44" t="inlineStr">
        <is>
          <t>Deadline</t>
        </is>
      </c>
      <c r="E12" s="44" t="inlineStr">
        <is>
          <t>In Charge</t>
        </is>
      </c>
      <c r="F12" s="44" t="inlineStr">
        <is>
          <t>Status</t>
        </is>
      </c>
      <c r="G12" s="1" t="n"/>
      <c r="H12" s="1" t="n"/>
      <c r="I12" s="1" t="n"/>
      <c r="J12" s="1" t="n"/>
      <c r="K12" s="1" t="n"/>
      <c r="L12" s="1" t="n"/>
      <c r="M12" s="1" t="n"/>
      <c r="N12" s="1" t="n"/>
      <c r="O12" s="1" t="n"/>
      <c r="P12" s="1" t="n"/>
      <c r="Q12" s="1" t="n"/>
      <c r="R12" s="1" t="n"/>
      <c r="S12" s="1" t="n"/>
      <c r="T12" s="1" t="n"/>
      <c r="U12" s="1" t="n"/>
      <c r="V12" s="1" t="n"/>
      <c r="W12" s="1" t="n"/>
      <c r="X12" s="1" t="n"/>
      <c r="Y12" s="1" t="n"/>
      <c r="Z12" s="1" t="n"/>
    </row>
    <row r="13" ht="14.25" customHeight="1" s="118">
      <c r="A13" s="1" t="n"/>
      <c r="B13" s="46" t="inlineStr">
        <is>
          <t>Stage 1</t>
        </is>
      </c>
      <c r="C13" s="47" t="inlineStr">
        <is>
          <t>Report 1 (Project Introduction)</t>
        </is>
      </c>
      <c r="D13" s="48" t="inlineStr">
        <is>
          <t>Week 1</t>
        </is>
      </c>
      <c r="E13" s="37" t="n"/>
      <c r="F13" s="49">
        <f>IF(COUNTA(Scope!B6)=0,"",IF(COUNTIF(Scope!G6,"Done")=COUNTA(Scope!B6),"Done",IF(COUNTIF(Scope!G6,"Not Started")=COUNTA(Scope!B6),"Not Started","In Progress")))</f>
        <v/>
      </c>
      <c r="G13" s="1" t="n"/>
      <c r="H13" s="1" t="n"/>
      <c r="I13" s="1" t="n"/>
      <c r="J13" s="1" t="n"/>
      <c r="K13" s="1" t="n"/>
      <c r="L13" s="1" t="n"/>
      <c r="M13" s="1" t="n"/>
      <c r="N13" s="1" t="n"/>
      <c r="O13" s="1" t="n"/>
      <c r="P13" s="1" t="n"/>
      <c r="Q13" s="1" t="n"/>
      <c r="R13" s="1" t="n"/>
      <c r="S13" s="1" t="n"/>
      <c r="T13" s="1" t="n"/>
      <c r="U13" s="1" t="n"/>
      <c r="V13" s="1" t="n"/>
      <c r="W13" s="1" t="n"/>
      <c r="X13" s="1" t="n"/>
      <c r="Y13" s="1" t="n"/>
      <c r="Z13" s="1" t="n"/>
    </row>
    <row r="14" ht="14.25" customHeight="1" s="118">
      <c r="A14" s="1" t="n"/>
      <c r="B14" s="50" t="inlineStr">
        <is>
          <t>Stage 2</t>
        </is>
      </c>
      <c r="C14" s="51" t="inlineStr">
        <is>
          <t>SRS v0.9 + Project Management Plan</t>
        </is>
      </c>
      <c r="D14" s="52" t="inlineStr">
        <is>
          <t>Week 3</t>
        </is>
      </c>
      <c r="E14" s="34" t="n"/>
      <c r="F14" s="49">
        <f>IF(COUNTA(Scope!B8:B10)=0,"",IF(COUNTIF(Scope!G8:G10,"Done")=COUNTA(Scope!B8:B10),"Done",IF(COUNTIF(Scope!G8:G10,"Not Started")=COUNTA(Scope!B8:B10),"Not Started","In Progress")))</f>
        <v/>
      </c>
      <c r="G14" s="1" t="n"/>
      <c r="H14" s="1" t="n"/>
      <c r="I14" s="1" t="n"/>
      <c r="J14" s="1" t="n"/>
      <c r="K14" s="1" t="n"/>
      <c r="L14" s="1" t="n"/>
      <c r="M14" s="1" t="n"/>
      <c r="N14" s="1" t="n"/>
      <c r="O14" s="1" t="n"/>
      <c r="P14" s="1" t="n"/>
      <c r="Q14" s="1" t="n"/>
      <c r="R14" s="1" t="n"/>
      <c r="S14" s="1" t="n"/>
      <c r="T14" s="1" t="n"/>
      <c r="U14" s="1" t="n"/>
      <c r="V14" s="1" t="n"/>
      <c r="W14" s="1" t="n"/>
      <c r="X14" s="1" t="n"/>
      <c r="Y14" s="1" t="n"/>
      <c r="Z14" s="1" t="n"/>
    </row>
    <row r="15" ht="14.25" customHeight="1" s="118">
      <c r="A15" s="1" t="n"/>
      <c r="B15" s="46" t="inlineStr">
        <is>
          <t>Stage 3</t>
        </is>
      </c>
      <c r="C15" s="47" t="inlineStr">
        <is>
          <t>SDS v1.0 + Test Planning</t>
        </is>
      </c>
      <c r="D15" s="48" t="inlineStr">
        <is>
          <t>Week 5</t>
        </is>
      </c>
      <c r="E15" s="37" t="n"/>
      <c r="F15" s="49">
        <f>IF(COUNTA(Scope!B12:B15)=0,"",IF(COUNTIF(Scope!G12:G15,"Done")=COUNTA(Scope!B12:B15),"Done",IF(COUNTIF(Scope!G12:G15,"Not Started")=COUNTA(Scope!B12:B15),"Not Started","In Progress")))</f>
        <v/>
      </c>
      <c r="G15" s="1" t="n"/>
      <c r="H15" s="1" t="n"/>
      <c r="I15" s="1" t="n"/>
      <c r="J15" s="1" t="n"/>
      <c r="K15" s="1" t="n"/>
      <c r="L15" s="1" t="n"/>
      <c r="M15" s="1" t="n"/>
      <c r="N15" s="1" t="n"/>
      <c r="O15" s="1" t="n"/>
      <c r="P15" s="1" t="n"/>
      <c r="Q15" s="1" t="n"/>
      <c r="R15" s="1" t="n"/>
      <c r="S15" s="1" t="n"/>
      <c r="T15" s="1" t="n"/>
      <c r="U15" s="1" t="n"/>
      <c r="V15" s="1" t="n"/>
      <c r="W15" s="1" t="n"/>
      <c r="X15" s="1" t="n"/>
      <c r="Y15" s="1" t="n"/>
      <c r="Z15" s="1" t="n"/>
    </row>
    <row r="16" ht="14.25" customHeight="1" s="118">
      <c r="A16" s="1" t="n"/>
      <c r="B16" s="50" t="inlineStr">
        <is>
          <t>Stage 4</t>
        </is>
      </c>
      <c r="C16" s="51" t="inlineStr">
        <is>
          <t>Implementation Iterations 1–3</t>
        </is>
      </c>
      <c r="D16" s="52" t="inlineStr">
        <is>
          <t>Week 11</t>
        </is>
      </c>
      <c r="E16" s="34" t="n"/>
      <c r="F16" s="48">
        <f>IF(COUNTA(Scope!B17:B36)=0,"",IF(COUNTIF(Scope!G17:G36,"Done")=COUNTA(Scope!B17:B36),"Done",IF(COUNTIF(Scope!G17:G36,"Not Started")=COUNTA(Scope!B17:B36),"Not Started","In Progress")))</f>
        <v/>
      </c>
      <c r="G16" s="1" t="n"/>
      <c r="H16" s="1" t="n"/>
      <c r="I16" s="1" t="n"/>
      <c r="J16" s="1" t="n"/>
      <c r="K16" s="1" t="n"/>
      <c r="L16" s="1" t="n"/>
      <c r="M16" s="1" t="n"/>
      <c r="N16" s="1" t="n"/>
      <c r="O16" s="1" t="n"/>
      <c r="P16" s="1" t="n"/>
      <c r="Q16" s="1" t="n"/>
      <c r="R16" s="1" t="n"/>
      <c r="S16" s="1" t="n"/>
      <c r="T16" s="1" t="n"/>
      <c r="U16" s="1" t="n"/>
      <c r="V16" s="1" t="n"/>
      <c r="W16" s="1" t="n"/>
      <c r="X16" s="1" t="n"/>
      <c r="Y16" s="1" t="n"/>
      <c r="Z16" s="1" t="n"/>
    </row>
    <row r="17" ht="14.25" customHeight="1" s="118">
      <c r="A17" s="1" t="n"/>
      <c r="B17" s="46" t="inlineStr">
        <is>
          <t>Stage 5</t>
        </is>
      </c>
      <c r="C17" s="47" t="inlineStr">
        <is>
          <t>System Test Report + User Guides + UAT</t>
        </is>
      </c>
      <c r="D17" s="48" t="inlineStr">
        <is>
          <t>Week 13</t>
        </is>
      </c>
      <c r="E17" s="37" t="n"/>
      <c r="F17" s="48">
        <f>IF(COUNTA(Scope!B38:B41)=0,"",IF(COUNTIF(Scope!G38:G41,"Done")=COUNTA(Scope!B38:B41),"Done",IF(COUNTIF(Scope!G38:G41,"Not Started")=COUNTA(Scope!B38:B41),"Not Started","In Progress")))</f>
        <v/>
      </c>
      <c r="G17" s="1" t="n"/>
      <c r="H17" s="1" t="n"/>
      <c r="I17" s="1" t="n"/>
      <c r="J17" s="1" t="n"/>
      <c r="K17" s="1" t="n"/>
      <c r="L17" s="1" t="n"/>
      <c r="M17" s="1" t="n"/>
      <c r="N17" s="1" t="n"/>
      <c r="O17" s="1" t="n"/>
      <c r="P17" s="1" t="n"/>
      <c r="Q17" s="1" t="n"/>
      <c r="R17" s="1" t="n"/>
      <c r="S17" s="1" t="n"/>
      <c r="T17" s="1" t="n"/>
      <c r="U17" s="1" t="n"/>
      <c r="V17" s="1" t="n"/>
      <c r="W17" s="1" t="n"/>
      <c r="X17" s="1" t="n"/>
      <c r="Y17" s="1" t="n"/>
      <c r="Z17" s="1" t="n"/>
    </row>
    <row r="18" ht="14.25" customHeight="1" s="118">
      <c r="A18" s="1" t="n"/>
      <c r="B18" s="50" t="inlineStr">
        <is>
          <t>Stage 6</t>
        </is>
      </c>
      <c r="C18" s="51" t="inlineStr">
        <is>
          <t>Final Report + Presentation</t>
        </is>
      </c>
      <c r="D18" s="52" t="inlineStr">
        <is>
          <t>Week 14</t>
        </is>
      </c>
      <c r="E18" s="34" t="n"/>
      <c r="F18" s="48">
        <f>IF(COUNTA(Scope!B43:B44)=0,"",IF(COUNTIF(Scope!G43:G44,"Done")=COUNTA(Scope!B43:B44),"Done",IF(COUNTIF(Scope!G43:G44,"Not Started")=COUNTA(Scope!B43:B44),"Not Started","In Progress")))</f>
        <v/>
      </c>
      <c r="G18" s="1" t="n"/>
      <c r="H18" s="1" t="n"/>
      <c r="I18" s="1" t="n"/>
      <c r="J18" s="1" t="n"/>
      <c r="K18" s="1" t="n"/>
      <c r="L18" s="1" t="n"/>
      <c r="M18" s="1" t="n"/>
      <c r="N18" s="1" t="n"/>
      <c r="O18" s="1" t="n"/>
      <c r="P18" s="1" t="n"/>
      <c r="Q18" s="1" t="n"/>
      <c r="R18" s="1" t="n"/>
      <c r="S18" s="1" t="n"/>
      <c r="T18" s="1" t="n"/>
      <c r="U18" s="1" t="n"/>
      <c r="V18" s="1" t="n"/>
      <c r="W18" s="1" t="n"/>
      <c r="X18" s="1" t="n"/>
      <c r="Y18" s="1" t="n"/>
      <c r="Z18" s="1" t="n"/>
    </row>
    <row r="19" ht="14.25" customHeight="1" s="118">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4.25" customHeight="1" s="118">
      <c r="A20" s="1" t="n"/>
      <c r="B20" s="42" t="inlineStr">
        <is>
          <t>WBS by Iteration</t>
        </is>
      </c>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4.25" customHeight="1" s="118">
      <c r="A21" s="1" t="n"/>
      <c r="B21" s="54" t="inlineStr">
        <is>
          <t>Iteration</t>
        </is>
      </c>
      <c r="C21" s="54" t="inlineStr">
        <is>
          <t>Planned Functions</t>
        </is>
      </c>
      <c r="D21" s="54" t="inlineStr">
        <is>
          <t>Est. Effort (pts)</t>
        </is>
      </c>
      <c r="E21" s="54" t="inlineStr">
        <is>
          <t>Done</t>
        </is>
      </c>
      <c r="F21" s="54" t="inlineStr">
        <is>
          <t>In Process</t>
        </is>
      </c>
      <c r="G21" s="54" t="inlineStr">
        <is>
          <t>% Complete</t>
        </is>
      </c>
      <c r="H21" s="1" t="n"/>
      <c r="I21" s="1" t="n"/>
      <c r="J21" s="1" t="n"/>
      <c r="K21" s="1" t="n"/>
      <c r="L21" s="1" t="n"/>
      <c r="M21" s="1" t="n"/>
      <c r="N21" s="1" t="n"/>
      <c r="O21" s="1" t="n"/>
      <c r="P21" s="1" t="n"/>
      <c r="Q21" s="1" t="n"/>
      <c r="R21" s="1" t="n"/>
      <c r="S21" s="1" t="n"/>
      <c r="T21" s="1" t="n"/>
      <c r="U21" s="1" t="n"/>
      <c r="V21" s="1" t="n"/>
      <c r="W21" s="1" t="n"/>
      <c r="X21" s="1" t="n"/>
      <c r="Y21" s="1" t="n"/>
      <c r="Z21" s="1" t="n"/>
    </row>
    <row r="22" ht="14.25" customHeight="1" s="118">
      <c r="A22" s="1" t="n"/>
      <c r="B22" s="50" t="inlineStr">
        <is>
          <t>Iteration 1</t>
        </is>
      </c>
      <c r="C22" s="52">
        <f>COUNTIF(WBS!$I$5:$I$1100,$B22)</f>
        <v/>
      </c>
      <c r="D22" s="52">
        <f>SUMIF(WBS!$I$5:$I$1100,$B22,WBS!$H$5:$H$1100)</f>
        <v/>
      </c>
      <c r="E22" s="52">
        <f>COUNTIFS(WBS!$I$5:$I$1100,$B22,WBS!$L$5:$L$1100,"Done")</f>
        <v/>
      </c>
      <c r="F22" s="52">
        <f>COUNTIFS(WBS!$I$5:$I$1100,$B22,WBS!$L$5:$L$1100,"In Progress")</f>
        <v/>
      </c>
      <c r="G22" s="55">
        <f>IFERROR(ROUND(E22/(C22-COUNTIFS(WBS!$I$5:$I$1100,$B22,WBS!$L$5:$L$1100,"Cancelled"))*100,1),"")</f>
        <v/>
      </c>
      <c r="H22" s="1" t="n"/>
      <c r="I22" s="1" t="n"/>
      <c r="J22" s="1" t="n"/>
      <c r="K22" s="1" t="n"/>
      <c r="L22" s="1" t="n"/>
      <c r="M22" s="1" t="n"/>
      <c r="N22" s="1" t="n"/>
      <c r="O22" s="1" t="n"/>
      <c r="P22" s="1" t="n"/>
      <c r="Q22" s="1" t="n"/>
      <c r="R22" s="1" t="n"/>
      <c r="S22" s="1" t="n"/>
      <c r="T22" s="1" t="n"/>
      <c r="U22" s="1" t="n"/>
      <c r="V22" s="1" t="n"/>
      <c r="W22" s="1" t="n"/>
      <c r="X22" s="1" t="n"/>
      <c r="Y22" s="1" t="n"/>
      <c r="Z22" s="1" t="n"/>
    </row>
    <row r="23" ht="14.25" customHeight="1" s="118">
      <c r="A23" s="1" t="n"/>
      <c r="B23" s="46" t="inlineStr">
        <is>
          <t>Iteration 2</t>
        </is>
      </c>
      <c r="C23" s="48">
        <f>COUNTIF(WBS!$I$5:$I$1100,$B23)</f>
        <v/>
      </c>
      <c r="D23" s="48">
        <f>SUMIF(WBS!$I$5:$I$1100,$B23,WBS!$H$5:$H$1100)</f>
        <v/>
      </c>
      <c r="E23" s="48">
        <f>COUNTIFS(WBS!$I$5:$I$1100,$B23,WBS!$L$5:$L$1100,"Done")</f>
        <v/>
      </c>
      <c r="F23" s="48">
        <f>COUNTIFS(WBS!$I$5:$I$1100,$B23,WBS!$L$5:$L$1100,"In Progress")</f>
        <v/>
      </c>
      <c r="G23" s="56">
        <f>IFERROR(ROUND(E23/(C23-COUNTIFS(WBS!$I$5:$I$1100,$B23,WBS!$L$5:$L$1100,"Cancelled"))*100,1),"")</f>
        <v/>
      </c>
      <c r="H23" s="1" t="n"/>
      <c r="I23" s="1" t="n"/>
      <c r="J23" s="1" t="n"/>
      <c r="K23" s="1" t="n"/>
      <c r="L23" s="1" t="n"/>
      <c r="M23" s="1" t="n"/>
      <c r="N23" s="1" t="n"/>
      <c r="O23" s="1" t="n"/>
      <c r="P23" s="1" t="n"/>
      <c r="Q23" s="1" t="n"/>
      <c r="R23" s="1" t="n"/>
      <c r="S23" s="1" t="n"/>
      <c r="T23" s="1" t="n"/>
      <c r="U23" s="1" t="n"/>
      <c r="V23" s="1" t="n"/>
      <c r="W23" s="1" t="n"/>
      <c r="X23" s="1" t="n"/>
      <c r="Y23" s="1" t="n"/>
      <c r="Z23" s="1" t="n"/>
    </row>
    <row r="24" ht="14.25" customHeight="1" s="118">
      <c r="A24" s="1" t="n"/>
      <c r="B24" s="50" t="inlineStr">
        <is>
          <t>Iteration 3</t>
        </is>
      </c>
      <c r="C24" s="52">
        <f>COUNTIF(WBS!$I$5:$I$1100,$B24)</f>
        <v/>
      </c>
      <c r="D24" s="52">
        <f>SUMIF(WBS!$I$5:$I$1100,$B24,WBS!$H$5:$H$1100)</f>
        <v/>
      </c>
      <c r="E24" s="52">
        <f>COUNTIFS(WBS!$I$5:$I$1100,$B24,WBS!$L$5:$L$1100,"Done")</f>
        <v/>
      </c>
      <c r="F24" s="52">
        <f>COUNTIFS(WBS!$I$5:$I$1100,$B24,WBS!$L$5:$L$1100,"In Progress")</f>
        <v/>
      </c>
      <c r="G24" s="55">
        <f>IFERROR(ROUND(E24/(C24-COUNTIFS(WBS!$I$5:$I$1100,$B24,WBS!$L$5:$L$1100,"Cancelled"))*100,1),"")</f>
        <v/>
      </c>
      <c r="H24" s="1" t="n"/>
      <c r="I24" s="1" t="n"/>
      <c r="J24" s="1" t="n"/>
      <c r="K24" s="1" t="n"/>
      <c r="L24" s="1" t="n"/>
      <c r="M24" s="1" t="n"/>
      <c r="N24" s="1" t="n"/>
      <c r="O24" s="1" t="n"/>
      <c r="P24" s="1" t="n"/>
      <c r="Q24" s="1" t="n"/>
      <c r="R24" s="1" t="n"/>
      <c r="S24" s="1" t="n"/>
      <c r="T24" s="1" t="n"/>
      <c r="U24" s="1" t="n"/>
      <c r="V24" s="1" t="n"/>
      <c r="W24" s="1" t="n"/>
      <c r="X24" s="1" t="n"/>
      <c r="Y24" s="1" t="n"/>
      <c r="Z24" s="1" t="n"/>
    </row>
    <row r="25" ht="14.25" customHeight="1" s="11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4.25" customHeight="1" s="11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4.25" customHeight="1" s="118">
      <c r="A27" s="1" t="n"/>
      <c r="B27" s="119" t="inlineStr">
        <is>
          <t>Last updated: [DD/MM/YYYY]  |  Project: [Project Name]  |  PM: [Name]</t>
        </is>
      </c>
      <c r="I27" s="1" t="n"/>
      <c r="J27" s="1" t="n"/>
      <c r="K27" s="1" t="n"/>
      <c r="L27" s="1" t="n"/>
      <c r="M27" s="1" t="n"/>
      <c r="N27" s="1" t="n"/>
      <c r="O27" s="1" t="n"/>
      <c r="P27" s="1" t="n"/>
      <c r="Q27" s="1" t="n"/>
      <c r="R27" s="1" t="n"/>
      <c r="S27" s="1" t="n"/>
      <c r="T27" s="1" t="n"/>
      <c r="U27" s="1" t="n"/>
      <c r="V27" s="1" t="n"/>
      <c r="W27" s="1" t="n"/>
      <c r="X27" s="1" t="n"/>
      <c r="Y27" s="1" t="n"/>
      <c r="Z27" s="1" t="n"/>
    </row>
    <row r="28" ht="14.25" customHeight="1" s="11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4.25" customHeight="1" s="11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11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4.25" customHeight="1" s="11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4.25" customHeight="1" s="11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4.25" customHeight="1" s="11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4.25" customHeight="1" s="11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25" customHeight="1" s="11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1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1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1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11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11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11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11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11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11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1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1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1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1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1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1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1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1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1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1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1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1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1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1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1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1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1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1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1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1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1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1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1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1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1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1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1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1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1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1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1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1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1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1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1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1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1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1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1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1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1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1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1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1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1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1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1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1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1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1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1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1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1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1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1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1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1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1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1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1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1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1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1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1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1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1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1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1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1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1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1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1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1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1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1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1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1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1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1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1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1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1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1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1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1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1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1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1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1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1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1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1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1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1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1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1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1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1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1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1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1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1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1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1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1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1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1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1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1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1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1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1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1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1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1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1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1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1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1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1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1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1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1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1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1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1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1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1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1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1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1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1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1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1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1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1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1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1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1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1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1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1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1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1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1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1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1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1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1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1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1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1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1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1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1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11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11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11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11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11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11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11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11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11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11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11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11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11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11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11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11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11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1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11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11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1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s="1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s="1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s="1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s="1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s="1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s="1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
    <mergeCell ref="B1:H1"/>
    <mergeCell ref="B2:H2"/>
    <mergeCell ref="B27:H27"/>
  </mergeCells>
  <conditionalFormatting sqref="F13:F20 F22:F25">
    <cfRule type="cellIs" priority="1" operator="equal" dxfId="0">
      <formula>"Done"</formula>
    </cfRule>
    <cfRule type="cellIs" priority="2" operator="equal" dxfId="0">
      <formula>"Completed"</formula>
    </cfRule>
    <cfRule type="cellIs" priority="3" operator="equal" dxfId="0">
      <formula>"Closed"</formula>
    </cfRule>
    <cfRule type="cellIs" priority="4" operator="equal" dxfId="0">
      <formula>"Fixed"</formula>
    </cfRule>
    <cfRule type="cellIs" priority="5" operator="equal" dxfId="0">
      <formula>"Approved"</formula>
    </cfRule>
    <cfRule type="cellIs" priority="6" operator="equal" dxfId="1">
      <formula>"In Progress"</formula>
    </cfRule>
    <cfRule type="cellIs" priority="7" operator="equal" dxfId="2">
      <formula>"Open"</formula>
    </cfRule>
    <cfRule type="cellIs" priority="8" operator="equal" dxfId="1">
      <formula>"Pending"</formula>
    </cfRule>
    <cfRule type="cellIs" priority="9" operator="equal" dxfId="2">
      <formula>"Blocked"</formula>
    </cfRule>
    <cfRule type="cellIs" priority="10" operator="equal" dxfId="3">
      <formula>"Cancelled"</formula>
    </cfRule>
    <cfRule type="cellIs" priority="11" operator="equal" dxfId="2">
      <formula>"Rejected"</formula>
    </cfRule>
    <cfRule type="cellIs" priority="12" operator="equal" dxfId="4">
      <formula>"Submitted"</formula>
    </cfRule>
  </conditionalFormatting>
  <pageMargins left="0.75" right="0.75" top="1" bottom="1" header="0" footer="0"/>
  <pageSetup orientation="portrait" paperSize="9"/>
</worksheet>
</file>

<file path=xl/worksheets/sheet2.xml><?xml version="1.0" encoding="utf-8"?>
<worksheet xmlns="http://schemas.openxmlformats.org/spreadsheetml/2006/main">
  <sheetPr>
    <tabColor rgb="FF2E75B6"/>
    <outlinePr summaryBelow="1" summaryRight="1"/>
    <pageSetUpPr/>
  </sheetPr>
  <dimension ref="A1:Z1000"/>
  <sheetViews>
    <sheetView showGridLines="0" workbookViewId="0">
      <pane ySplit="4" topLeftCell="A5" activePane="bottomLeft" state="frozen"/>
      <selection pane="bottomLeft" activeCell="B6" sqref="B6"/>
    </sheetView>
  </sheetViews>
  <sheetFormatPr baseColWidth="8" defaultColWidth="14.43" defaultRowHeight="15" customHeight="1"/>
  <cols>
    <col width="8" customWidth="1" style="118" min="1" max="1"/>
    <col width="45.71" customWidth="1" style="118" min="2" max="2"/>
    <col width="18.29" customWidth="1" style="118" min="3" max="4"/>
    <col width="11.43" customWidth="1" style="118" min="5" max="5"/>
    <col width="13.71" customWidth="1" style="118" min="6" max="6"/>
    <col width="16" customWidth="1" style="118" min="7" max="7"/>
    <col width="18.29" customWidth="1" style="118" min="8" max="8"/>
    <col width="13.43" customWidth="1" style="118" min="9" max="9"/>
    <col width="18.29" customWidth="1" style="118" min="10" max="10"/>
    <col width="37.86" customWidth="1" style="118" min="11" max="11"/>
    <col width="16.57" customWidth="1" style="118" min="12" max="26"/>
  </cols>
  <sheetData>
    <row r="1" ht="27.75" customHeight="1" s="118">
      <c r="A1" s="2" t="inlineStr">
        <is>
          <t>Scope — Project Deliverables &amp; Milestones</t>
        </is>
      </c>
      <c r="L1" s="1" t="n"/>
      <c r="M1" s="1" t="n"/>
      <c r="N1" s="1" t="n"/>
      <c r="O1" s="1" t="n"/>
      <c r="P1" s="1" t="n"/>
      <c r="Q1" s="1" t="n"/>
      <c r="R1" s="1" t="n"/>
      <c r="S1" s="1" t="n"/>
      <c r="T1" s="1" t="n"/>
      <c r="U1" s="1" t="n"/>
      <c r="V1" s="1" t="n"/>
      <c r="W1" s="1" t="n"/>
      <c r="X1" s="1" t="n"/>
      <c r="Y1" s="1" t="n"/>
      <c r="Z1" s="1" t="n"/>
    </row>
    <row r="2" ht="15.75" customHeight="1" s="118">
      <c r="A2" s="5" t="inlineStr">
        <is>
          <t>Track all deliverables by stage  ·  Update Status and Actual Effort each week  ·  % Complete auto-calculated</t>
        </is>
      </c>
      <c r="L2" s="1" t="n"/>
      <c r="M2" s="1" t="n"/>
      <c r="N2" s="1" t="n"/>
      <c r="O2" s="1" t="n"/>
      <c r="P2" s="1" t="n"/>
      <c r="Q2" s="1" t="n"/>
      <c r="R2" s="1" t="n"/>
      <c r="S2" s="1" t="n"/>
      <c r="T2" s="1" t="n"/>
      <c r="U2" s="1" t="n"/>
      <c r="V2" s="1" t="n"/>
      <c r="W2" s="1" t="n"/>
      <c r="X2" s="1" t="n"/>
      <c r="Y2" s="1" t="n"/>
      <c r="Z2" s="1" t="n"/>
    </row>
    <row r="3" ht="6" customHeight="1" s="118">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5.5" customHeight="1" s="118">
      <c r="A4" s="9" t="inlineStr">
        <is>
          <t>#</t>
        </is>
      </c>
      <c r="B4" s="9" t="inlineStr">
        <is>
          <t>Work Package / Deliverable</t>
        </is>
      </c>
      <c r="C4" s="9" t="inlineStr">
        <is>
          <t>In Charge</t>
        </is>
      </c>
      <c r="D4" s="9" t="inlineStr">
        <is>
          <t>Est. Effort (pds)</t>
        </is>
      </c>
      <c r="E4" s="9" t="inlineStr">
        <is>
          <t>Deadline</t>
        </is>
      </c>
      <c r="F4" s="9" t="inlineStr">
        <is>
          <t>% Complete</t>
        </is>
      </c>
      <c r="G4" s="9" t="inlineStr">
        <is>
          <t>Status</t>
        </is>
      </c>
      <c r="H4" s="9" t="inlineStr">
        <is>
          <t>Actual Effort (pds)</t>
        </is>
      </c>
      <c r="I4" s="9" t="inlineStr">
        <is>
          <t>Dependency</t>
        </is>
      </c>
      <c r="J4" s="9" t="inlineStr">
        <is>
          <t>Approved By</t>
        </is>
      </c>
      <c r="K4" s="9" t="inlineStr">
        <is>
          <t>Notes</t>
        </is>
      </c>
      <c r="L4" s="1" t="n"/>
      <c r="M4" s="1" t="n"/>
      <c r="N4" s="1" t="n"/>
      <c r="O4" s="1" t="n"/>
      <c r="P4" s="1" t="n"/>
      <c r="Q4" s="1" t="n"/>
      <c r="R4" s="1" t="n"/>
      <c r="S4" s="1" t="n"/>
      <c r="T4" s="1" t="n"/>
      <c r="U4" s="1" t="n"/>
      <c r="V4" s="1" t="n"/>
      <c r="W4" s="1" t="n"/>
      <c r="X4" s="1" t="n"/>
      <c r="Y4" s="1" t="n"/>
      <c r="Z4" s="1" t="n"/>
    </row>
    <row r="5" ht="19.5" customHeight="1" s="118">
      <c r="A5" s="120" t="inlineStr">
        <is>
          <t xml:space="preserve">  Stage 1: Project Initiating (Week 1)</t>
        </is>
      </c>
      <c r="L5" s="1" t="n"/>
      <c r="M5" s="1" t="n"/>
      <c r="N5" s="1" t="n"/>
      <c r="O5" s="1" t="n"/>
      <c r="P5" s="1" t="n"/>
      <c r="Q5" s="1" t="n"/>
      <c r="R5" s="1" t="n"/>
      <c r="S5" s="1" t="n"/>
      <c r="T5" s="1" t="n"/>
      <c r="U5" s="1" t="n"/>
      <c r="V5" s="1" t="n"/>
      <c r="W5" s="1" t="n"/>
      <c r="X5" s="1" t="n"/>
      <c r="Y5" s="1" t="n"/>
      <c r="Z5" s="1" t="n"/>
    </row>
    <row r="6" ht="21.75" customHeight="1" s="118">
      <c r="A6" s="25" t="inlineStr">
        <is>
          <t>1.1</t>
        </is>
      </c>
      <c r="B6" s="23" t="inlineStr">
        <is>
          <t>Report 1 — Project Introduction</t>
        </is>
      </c>
      <c r="C6" s="23" t="n"/>
      <c r="D6" s="19" t="n"/>
      <c r="E6" s="19" t="inlineStr">
        <is>
          <t>Week 1</t>
        </is>
      </c>
      <c r="F6" s="33">
        <f>IFERROR(H6/D6*100,"")</f>
        <v/>
      </c>
      <c r="G6" s="28" t="inlineStr">
        <is>
          <t>Done</t>
        </is>
      </c>
      <c r="H6" s="28" t="n"/>
      <c r="I6" s="23" t="n"/>
      <c r="J6" s="23" t="n"/>
      <c r="K6" s="23" t="n"/>
      <c r="L6" s="1" t="n"/>
      <c r="M6" s="1" t="n"/>
      <c r="N6" s="1" t="n"/>
      <c r="O6" s="1" t="n"/>
      <c r="P6" s="1" t="n"/>
      <c r="Q6" s="1" t="n"/>
      <c r="R6" s="1" t="n"/>
      <c r="S6" s="1" t="n"/>
      <c r="T6" s="1" t="n"/>
      <c r="U6" s="1" t="n"/>
      <c r="V6" s="1" t="n"/>
      <c r="W6" s="1" t="n"/>
      <c r="X6" s="1" t="n"/>
      <c r="Y6" s="1" t="n"/>
      <c r="Z6" s="1" t="n"/>
    </row>
    <row r="7" ht="19.5" customHeight="1" s="118">
      <c r="A7" s="120" t="inlineStr">
        <is>
          <t xml:space="preserve">  Stage 2: Project Planning &amp; Initial Requirements (Weeks 2–3)</t>
        </is>
      </c>
      <c r="L7" s="1" t="n"/>
      <c r="M7" s="1" t="n"/>
      <c r="N7" s="1" t="n"/>
      <c r="O7" s="1" t="n"/>
      <c r="P7" s="1" t="n"/>
      <c r="Q7" s="1" t="n"/>
      <c r="R7" s="1" t="n"/>
      <c r="S7" s="1" t="n"/>
      <c r="T7" s="1" t="n"/>
      <c r="U7" s="1" t="n"/>
      <c r="V7" s="1" t="n"/>
      <c r="W7" s="1" t="n"/>
      <c r="X7" s="1" t="n"/>
      <c r="Y7" s="1" t="n"/>
      <c r="Z7" s="1" t="n"/>
    </row>
    <row r="8" ht="21.75" customHeight="1" s="118">
      <c r="A8" s="25" t="inlineStr">
        <is>
          <t>2.1</t>
        </is>
      </c>
      <c r="B8" s="23" t="inlineStr">
        <is>
          <t>Report 3 — SRS v0.9 (Overall Requirements)</t>
        </is>
      </c>
      <c r="C8" s="23" t="n"/>
      <c r="D8" s="19" t="n"/>
      <c r="E8" s="19" t="inlineStr">
        <is>
          <t>Week 2</t>
        </is>
      </c>
      <c r="F8" s="33">
        <f>IFERROR(H8/D8*100,"")</f>
        <v/>
      </c>
      <c r="G8" s="28" t="inlineStr">
        <is>
          <t>Done</t>
        </is>
      </c>
      <c r="H8" s="28" t="n"/>
      <c r="I8" s="23" t="n"/>
      <c r="J8" s="23" t="n"/>
      <c r="K8" s="23" t="n"/>
      <c r="L8" s="1" t="n"/>
      <c r="M8" s="1" t="n"/>
      <c r="N8" s="1" t="n"/>
      <c r="O8" s="1" t="n"/>
      <c r="P8" s="1" t="n"/>
      <c r="Q8" s="1" t="n"/>
      <c r="R8" s="1" t="n"/>
      <c r="S8" s="1" t="n"/>
      <c r="T8" s="1" t="n"/>
      <c r="U8" s="1" t="n"/>
      <c r="V8" s="1" t="n"/>
      <c r="W8" s="1" t="n"/>
      <c r="X8" s="1" t="n"/>
      <c r="Y8" s="1" t="n"/>
      <c r="Z8" s="1" t="n"/>
    </row>
    <row r="9" ht="21.75" customHeight="1" s="118">
      <c r="A9" s="25" t="inlineStr">
        <is>
          <t>2.2</t>
        </is>
      </c>
      <c r="B9" s="43" t="inlineStr">
        <is>
          <t>Vertical Prototypes (Code Demo)</t>
        </is>
      </c>
      <c r="C9" s="43" t="n"/>
      <c r="D9" s="45" t="n"/>
      <c r="E9" s="45" t="inlineStr">
        <is>
          <t>Week 3</t>
        </is>
      </c>
      <c r="F9" s="33">
        <f>IFERROR(H9/D9*100,"")</f>
        <v/>
      </c>
      <c r="G9" s="28" t="inlineStr">
        <is>
          <t>Done</t>
        </is>
      </c>
      <c r="H9" s="28" t="n"/>
      <c r="I9" s="43" t="n"/>
      <c r="J9" s="43" t="n"/>
      <c r="K9" s="43" t="n"/>
      <c r="L9" s="1" t="n"/>
      <c r="M9" s="1" t="n"/>
      <c r="N9" s="1" t="n"/>
      <c r="O9" s="1" t="n"/>
      <c r="P9" s="1" t="n"/>
      <c r="Q9" s="1" t="n"/>
      <c r="R9" s="1" t="n"/>
      <c r="S9" s="1" t="n"/>
      <c r="T9" s="1" t="n"/>
      <c r="U9" s="1" t="n"/>
      <c r="V9" s="1" t="n"/>
      <c r="W9" s="1" t="n"/>
      <c r="X9" s="1" t="n"/>
      <c r="Y9" s="1" t="n"/>
      <c r="Z9" s="1" t="n"/>
    </row>
    <row r="10" ht="21.75" customHeight="1" s="118">
      <c r="A10" s="25" t="inlineStr">
        <is>
          <t>2.3</t>
        </is>
      </c>
      <c r="B10" s="23" t="inlineStr">
        <is>
          <t>Report 2 — Project Management Plan v1.0</t>
        </is>
      </c>
      <c r="C10" s="23" t="n"/>
      <c r="D10" s="19" t="n"/>
      <c r="E10" s="19" t="inlineStr">
        <is>
          <t>Week 3</t>
        </is>
      </c>
      <c r="F10" s="33">
        <f>IFERROR(H10/D10*100,"")</f>
        <v/>
      </c>
      <c r="G10" s="28" t="inlineStr">
        <is>
          <t>Done</t>
        </is>
      </c>
      <c r="H10" s="28" t="n"/>
      <c r="I10" s="23" t="n"/>
      <c r="J10" s="23" t="n"/>
      <c r="K10" s="23" t="n"/>
      <c r="L10" s="1" t="n"/>
      <c r="M10" s="1" t="n"/>
      <c r="N10" s="1" t="n"/>
      <c r="O10" s="1" t="n"/>
      <c r="P10" s="1" t="n"/>
      <c r="Q10" s="1" t="n"/>
      <c r="R10" s="1" t="n"/>
      <c r="S10" s="1" t="n"/>
      <c r="T10" s="1" t="n"/>
      <c r="U10" s="1" t="n"/>
      <c r="V10" s="1" t="n"/>
      <c r="W10" s="1" t="n"/>
      <c r="X10" s="1" t="n"/>
      <c r="Y10" s="1" t="n"/>
      <c r="Z10" s="1" t="n"/>
    </row>
    <row r="11" ht="19.5" customHeight="1" s="118">
      <c r="A11" s="120" t="inlineStr">
        <is>
          <t xml:space="preserve">  Stage 3: Software Design (Weeks 4–5)</t>
        </is>
      </c>
      <c r="L11" s="1" t="n"/>
      <c r="M11" s="1" t="n"/>
      <c r="N11" s="1" t="n"/>
      <c r="O11" s="1" t="n"/>
      <c r="P11" s="1" t="n"/>
      <c r="Q11" s="1" t="n"/>
      <c r="R11" s="1" t="n"/>
      <c r="S11" s="1" t="n"/>
      <c r="T11" s="1" t="n"/>
      <c r="U11" s="1" t="n"/>
      <c r="V11" s="1" t="n"/>
      <c r="W11" s="1" t="n"/>
      <c r="X11" s="1" t="n"/>
      <c r="Y11" s="1" t="n"/>
      <c r="Z11" s="1" t="n"/>
    </row>
    <row r="12" ht="21.75" customHeight="1" s="118">
      <c r="A12" s="25" t="inlineStr">
        <is>
          <t>3.1</t>
        </is>
      </c>
      <c r="B12" s="23" t="inlineStr">
        <is>
          <t>Vertical Prototypes (POC / Proof of Concepts)</t>
        </is>
      </c>
      <c r="C12" s="23" t="n"/>
      <c r="D12" s="19" t="n"/>
      <c r="E12" s="19" t="inlineStr">
        <is>
          <t>Week 4</t>
        </is>
      </c>
      <c r="F12" s="33">
        <f>IFERROR(H12/D12*100,"")</f>
        <v/>
      </c>
      <c r="G12" s="28" t="inlineStr">
        <is>
          <t>Done</t>
        </is>
      </c>
      <c r="H12" s="28" t="n"/>
      <c r="I12" s="23" t="n"/>
      <c r="J12" s="23" t="n"/>
      <c r="K12" s="23" t="n"/>
      <c r="L12" s="1" t="n"/>
      <c r="M12" s="1" t="n"/>
      <c r="N12" s="1" t="n"/>
      <c r="O12" s="1" t="n"/>
      <c r="P12" s="1" t="n"/>
      <c r="Q12" s="1" t="n"/>
      <c r="R12" s="1" t="n"/>
      <c r="S12" s="1" t="n"/>
      <c r="T12" s="1" t="n"/>
      <c r="U12" s="1" t="n"/>
      <c r="V12" s="1" t="n"/>
      <c r="W12" s="1" t="n"/>
      <c r="X12" s="1" t="n"/>
      <c r="Y12" s="1" t="n"/>
      <c r="Z12" s="1" t="n"/>
    </row>
    <row r="13" ht="21.75" customHeight="1" s="118">
      <c r="A13" s="25" t="inlineStr">
        <is>
          <t>3.2</t>
        </is>
      </c>
      <c r="B13" s="43" t="inlineStr">
        <is>
          <t>Report 4 — SDS v1.0 (High Level Design)</t>
        </is>
      </c>
      <c r="C13" s="43" t="n"/>
      <c r="D13" s="45" t="n"/>
      <c r="E13" s="45" t="inlineStr">
        <is>
          <t>Week 4</t>
        </is>
      </c>
      <c r="F13" s="33">
        <f>IFERROR(H13/D13*100,"")</f>
        <v/>
      </c>
      <c r="G13" s="28" t="inlineStr">
        <is>
          <t>Done</t>
        </is>
      </c>
      <c r="H13" s="28" t="n"/>
      <c r="I13" s="43" t="n"/>
      <c r="J13" s="43" t="n"/>
      <c r="K13" s="43" t="n"/>
      <c r="L13" s="1" t="n"/>
      <c r="M13" s="1" t="n"/>
      <c r="N13" s="1" t="n"/>
      <c r="O13" s="1" t="n"/>
      <c r="P13" s="1" t="n"/>
      <c r="Q13" s="1" t="n"/>
      <c r="R13" s="1" t="n"/>
      <c r="S13" s="1" t="n"/>
      <c r="T13" s="1" t="n"/>
      <c r="U13" s="1" t="n"/>
      <c r="V13" s="1" t="n"/>
      <c r="W13" s="1" t="n"/>
      <c r="X13" s="1" t="n"/>
      <c r="Y13" s="1" t="n"/>
      <c r="Z13" s="1" t="n"/>
    </row>
    <row r="14" ht="21.75" customHeight="1" s="118">
      <c r="A14" s="25" t="inlineStr">
        <is>
          <t>3.3</t>
        </is>
      </c>
      <c r="B14" s="23" t="inlineStr">
        <is>
          <t>Report 5 — Test Planning</t>
        </is>
      </c>
      <c r="C14" s="23" t="n"/>
      <c r="D14" s="19" t="n"/>
      <c r="E14" s="19" t="inlineStr">
        <is>
          <t>Week 5</t>
        </is>
      </c>
      <c r="F14" s="33">
        <f>IFERROR(H14/D14*100,"")</f>
        <v/>
      </c>
      <c r="G14" s="28" t="inlineStr">
        <is>
          <t>Done</t>
        </is>
      </c>
      <c r="H14" s="28" t="n"/>
      <c r="I14" s="23" t="n"/>
      <c r="J14" s="23" t="n"/>
      <c r="K14" s="23" t="n"/>
      <c r="L14" s="1" t="n"/>
      <c r="M14" s="1" t="n"/>
      <c r="N14" s="1" t="n"/>
      <c r="O14" s="1" t="n"/>
      <c r="P14" s="1" t="n"/>
      <c r="Q14" s="1" t="n"/>
      <c r="R14" s="1" t="n"/>
      <c r="S14" s="1" t="n"/>
      <c r="T14" s="1" t="n"/>
      <c r="U14" s="1" t="n"/>
      <c r="V14" s="1" t="n"/>
      <c r="W14" s="1" t="n"/>
      <c r="X14" s="1" t="n"/>
      <c r="Y14" s="1" t="n"/>
      <c r="Z14" s="1" t="n"/>
    </row>
    <row r="15" ht="21.75" customHeight="1" s="118">
      <c r="A15" s="25" t="inlineStr">
        <is>
          <t>3.4</t>
        </is>
      </c>
      <c r="B15" s="43" t="inlineStr">
        <is>
          <t>Report 3 — SRS v1.0 (Detailed — Iteration 1)</t>
        </is>
      </c>
      <c r="C15" s="43" t="n"/>
      <c r="D15" s="45" t="n"/>
      <c r="E15" s="45" t="inlineStr">
        <is>
          <t>Week 5</t>
        </is>
      </c>
      <c r="F15" s="33">
        <f>IFERROR(H15/D15*100,"")</f>
        <v/>
      </c>
      <c r="G15" s="28" t="inlineStr">
        <is>
          <t>Done</t>
        </is>
      </c>
      <c r="H15" s="28" t="n"/>
      <c r="I15" s="43" t="n"/>
      <c r="J15" s="43" t="n"/>
      <c r="K15" s="43" t="n"/>
      <c r="L15" s="1" t="n"/>
      <c r="M15" s="1" t="n"/>
      <c r="N15" s="1" t="n"/>
      <c r="O15" s="1" t="n"/>
      <c r="P15" s="1" t="n"/>
      <c r="Q15" s="1" t="n"/>
      <c r="R15" s="1" t="n"/>
      <c r="S15" s="1" t="n"/>
      <c r="T15" s="1" t="n"/>
      <c r="U15" s="1" t="n"/>
      <c r="V15" s="1" t="n"/>
      <c r="W15" s="1" t="n"/>
      <c r="X15" s="1" t="n"/>
      <c r="Y15" s="1" t="n"/>
      <c r="Z15" s="1" t="n"/>
    </row>
    <row r="16" ht="19.5" customHeight="1" s="118">
      <c r="A16" s="120" t="inlineStr">
        <is>
          <t xml:space="preserve">  Stage 4a: Implementation — Iteration 1 (Weeks 6–7)</t>
        </is>
      </c>
      <c r="L16" s="1" t="n"/>
      <c r="M16" s="1" t="n"/>
      <c r="N16" s="1" t="n"/>
      <c r="O16" s="1" t="n"/>
      <c r="P16" s="1" t="n"/>
      <c r="Q16" s="1" t="n"/>
      <c r="R16" s="1" t="n"/>
      <c r="S16" s="1" t="n"/>
      <c r="T16" s="1" t="n"/>
      <c r="U16" s="1" t="n"/>
      <c r="V16" s="1" t="n"/>
      <c r="W16" s="1" t="n"/>
      <c r="X16" s="1" t="n"/>
      <c r="Y16" s="1" t="n"/>
      <c r="Z16" s="1" t="n"/>
    </row>
    <row r="17" ht="21.75" customHeight="1" s="118">
      <c r="A17" s="25" t="inlineStr">
        <is>
          <t>4.1.1</t>
        </is>
      </c>
      <c r="B17" s="23" t="inlineStr">
        <is>
          <t>Report 4 — SDS v1.1 (Detailed Design)</t>
        </is>
      </c>
      <c r="C17" s="23" t="n"/>
      <c r="D17" s="19" t="n"/>
      <c r="E17" s="19" t="inlineStr">
        <is>
          <t>Week 6</t>
        </is>
      </c>
      <c r="F17" s="33">
        <f>IFERROR(H17/D17*100,"")</f>
        <v/>
      </c>
      <c r="G17" s="28" t="inlineStr">
        <is>
          <t>Done</t>
        </is>
      </c>
      <c r="H17" s="28" t="n"/>
      <c r="I17" s="23" t="n"/>
      <c r="J17" s="23" t="n"/>
      <c r="K17" s="23" t="n"/>
      <c r="L17" s="1" t="n"/>
      <c r="M17" s="1" t="n"/>
      <c r="N17" s="1" t="n"/>
      <c r="O17" s="1" t="n"/>
      <c r="P17" s="1" t="n"/>
      <c r="Q17" s="1" t="n"/>
      <c r="R17" s="1" t="n"/>
      <c r="S17" s="1" t="n"/>
      <c r="T17" s="1" t="n"/>
      <c r="U17" s="1" t="n"/>
      <c r="V17" s="1" t="n"/>
      <c r="W17" s="1" t="n"/>
      <c r="X17" s="1" t="n"/>
      <c r="Y17" s="1" t="n"/>
      <c r="Z17" s="1" t="n"/>
    </row>
    <row r="18" ht="21.75" customHeight="1" s="118">
      <c r="A18" s="25" t="inlineStr">
        <is>
          <t>4.1.2</t>
        </is>
      </c>
      <c r="B18" s="43" t="inlineStr">
        <is>
          <t>Code Package &amp; Unit Testing Report — Iteration 1</t>
        </is>
      </c>
      <c r="C18" s="43" t="n"/>
      <c r="D18" s="45" t="n"/>
      <c r="E18" s="45" t="inlineStr">
        <is>
          <t>Week 6</t>
        </is>
      </c>
      <c r="F18" s="33">
        <f>IFERROR(H18/D18*100,"")</f>
        <v/>
      </c>
      <c r="G18" s="28" t="inlineStr">
        <is>
          <t>Done</t>
        </is>
      </c>
      <c r="H18" s="28" t="n"/>
      <c r="I18" s="43" t="n"/>
      <c r="J18" s="43" t="n"/>
      <c r="K18" s="43" t="n"/>
      <c r="L18" s="1" t="n"/>
      <c r="M18" s="1" t="n"/>
      <c r="N18" s="1" t="n"/>
      <c r="O18" s="1" t="n"/>
      <c r="P18" s="1" t="n"/>
      <c r="Q18" s="1" t="n"/>
      <c r="R18" s="1" t="n"/>
      <c r="S18" s="1" t="n"/>
      <c r="T18" s="1" t="n"/>
      <c r="U18" s="1" t="n"/>
      <c r="V18" s="1" t="n"/>
      <c r="W18" s="1" t="n"/>
      <c r="X18" s="1" t="n"/>
      <c r="Y18" s="1" t="n"/>
      <c r="Z18" s="1" t="n"/>
    </row>
    <row r="19" ht="21.75" customHeight="1" s="118">
      <c r="A19" s="25" t="inlineStr">
        <is>
          <t>4.1.3</t>
        </is>
      </c>
      <c r="B19" s="23" t="inlineStr">
        <is>
          <t>Report 5 — Integration Test Cases — Iteration 1</t>
        </is>
      </c>
      <c r="C19" s="23" t="n"/>
      <c r="D19" s="19" t="n"/>
      <c r="E19" s="19" t="inlineStr">
        <is>
          <t>Week 6</t>
        </is>
      </c>
      <c r="F19" s="33">
        <f>IFERROR(H19/D19*100,"")</f>
        <v/>
      </c>
      <c r="G19" s="28" t="inlineStr">
        <is>
          <t>Done</t>
        </is>
      </c>
      <c r="H19" s="28" t="n"/>
      <c r="I19" s="23" t="n"/>
      <c r="J19" s="23" t="n"/>
      <c r="K19" s="23" t="n"/>
      <c r="L19" s="1" t="n"/>
      <c r="M19" s="1" t="n"/>
      <c r="N19" s="1" t="n"/>
      <c r="O19" s="1" t="n"/>
      <c r="P19" s="1" t="n"/>
      <c r="Q19" s="1" t="n"/>
      <c r="R19" s="1" t="n"/>
      <c r="S19" s="1" t="n"/>
      <c r="T19" s="1" t="n"/>
      <c r="U19" s="1" t="n"/>
      <c r="V19" s="1" t="n"/>
      <c r="W19" s="1" t="n"/>
      <c r="X19" s="1" t="n"/>
      <c r="Y19" s="1" t="n"/>
      <c r="Z19" s="1" t="n"/>
    </row>
    <row r="20" ht="21.75" customHeight="1" s="118">
      <c r="A20" s="25" t="inlineStr">
        <is>
          <t>4.1.4</t>
        </is>
      </c>
      <c r="B20" s="43" t="inlineStr">
        <is>
          <t>Report 5 — Integration Test Report — Iteration 1</t>
        </is>
      </c>
      <c r="C20" s="43" t="n"/>
      <c r="D20" s="45" t="n"/>
      <c r="E20" s="45" t="inlineStr">
        <is>
          <t>Week 7</t>
        </is>
      </c>
      <c r="F20" s="33">
        <f>IFERROR(H20/D20*100,"")</f>
        <v/>
      </c>
      <c r="G20" s="28" t="inlineStr">
        <is>
          <t>Done</t>
        </is>
      </c>
      <c r="H20" s="28" t="n"/>
      <c r="I20" s="43" t="n"/>
      <c r="J20" s="43" t="n"/>
      <c r="K20" s="43" t="n"/>
      <c r="L20" s="1" t="n"/>
      <c r="M20" s="1" t="n"/>
      <c r="N20" s="1" t="n"/>
      <c r="O20" s="1" t="n"/>
      <c r="P20" s="1" t="n"/>
      <c r="Q20" s="1" t="n"/>
      <c r="R20" s="1" t="n"/>
      <c r="S20" s="1" t="n"/>
      <c r="T20" s="1" t="n"/>
      <c r="U20" s="1" t="n"/>
      <c r="V20" s="1" t="n"/>
      <c r="W20" s="1" t="n"/>
      <c r="X20" s="1" t="n"/>
      <c r="Y20" s="1" t="n"/>
      <c r="Z20" s="1" t="n"/>
    </row>
    <row r="21" ht="21.75" customHeight="1" s="118">
      <c r="A21" s="25" t="inlineStr">
        <is>
          <t>4.1.5</t>
        </is>
      </c>
      <c r="B21" s="23" t="inlineStr">
        <is>
          <t>Report 3 — SRS v1.1 (Detailed — Iteration 2)</t>
        </is>
      </c>
      <c r="C21" s="23" t="n"/>
      <c r="D21" s="19" t="n"/>
      <c r="E21" s="19" t="inlineStr">
        <is>
          <t>Week 7</t>
        </is>
      </c>
      <c r="F21" s="33">
        <f>IFERROR(H21/D21*100,"")</f>
        <v/>
      </c>
      <c r="G21" s="28" t="inlineStr">
        <is>
          <t>Done</t>
        </is>
      </c>
      <c r="H21" s="28" t="n"/>
      <c r="I21" s="23" t="n"/>
      <c r="J21" s="23" t="n"/>
      <c r="K21" s="23" t="n"/>
      <c r="L21" s="1" t="n"/>
      <c r="M21" s="1" t="n"/>
      <c r="N21" s="1" t="n"/>
      <c r="O21" s="1" t="n"/>
      <c r="P21" s="1" t="n"/>
      <c r="Q21" s="1" t="n"/>
      <c r="R21" s="1" t="n"/>
      <c r="S21" s="1" t="n"/>
      <c r="T21" s="1" t="n"/>
      <c r="U21" s="1" t="n"/>
      <c r="V21" s="1" t="n"/>
      <c r="W21" s="1" t="n"/>
      <c r="X21" s="1" t="n"/>
      <c r="Y21" s="1" t="n"/>
      <c r="Z21" s="1" t="n"/>
    </row>
    <row r="22" ht="21.75" customHeight="1" s="118">
      <c r="A22" s="25" t="inlineStr">
        <is>
          <t>4.1.6</t>
        </is>
      </c>
      <c r="B22" s="43" t="inlineStr">
        <is>
          <t>Software Package Version 1</t>
        </is>
      </c>
      <c r="C22" s="43" t="n"/>
      <c r="D22" s="45" t="n"/>
      <c r="E22" s="45" t="inlineStr">
        <is>
          <t>Week 7</t>
        </is>
      </c>
      <c r="F22" s="33">
        <f>IFERROR(H22/D22*100,"")</f>
        <v/>
      </c>
      <c r="G22" s="28" t="inlineStr">
        <is>
          <t>Done</t>
        </is>
      </c>
      <c r="H22" s="28" t="n"/>
      <c r="I22" s="43" t="n"/>
      <c r="J22" s="43" t="n"/>
      <c r="K22" s="43" t="n"/>
      <c r="L22" s="1" t="n"/>
      <c r="M22" s="1" t="n"/>
      <c r="N22" s="1" t="n"/>
      <c r="O22" s="1" t="n"/>
      <c r="P22" s="1" t="n"/>
      <c r="Q22" s="1" t="n"/>
      <c r="R22" s="1" t="n"/>
      <c r="S22" s="1" t="n"/>
      <c r="T22" s="1" t="n"/>
      <c r="U22" s="1" t="n"/>
      <c r="V22" s="1" t="n"/>
      <c r="W22" s="1" t="n"/>
      <c r="X22" s="1" t="n"/>
      <c r="Y22" s="1" t="n"/>
      <c r="Z22" s="1" t="n"/>
    </row>
    <row r="23" ht="19.5" customHeight="1" s="118">
      <c r="A23" s="120" t="inlineStr">
        <is>
          <t xml:space="preserve">  Stage 4b: Implementation — Iteration 2 (Weeks 8–9)</t>
        </is>
      </c>
      <c r="L23" s="1" t="n"/>
      <c r="M23" s="1" t="n"/>
      <c r="N23" s="1" t="n"/>
      <c r="O23" s="1" t="n"/>
      <c r="P23" s="1" t="n"/>
      <c r="Q23" s="1" t="n"/>
      <c r="R23" s="1" t="n"/>
      <c r="S23" s="1" t="n"/>
      <c r="T23" s="1" t="n"/>
      <c r="U23" s="1" t="n"/>
      <c r="V23" s="1" t="n"/>
      <c r="W23" s="1" t="n"/>
      <c r="X23" s="1" t="n"/>
      <c r="Y23" s="1" t="n"/>
      <c r="Z23" s="1" t="n"/>
    </row>
    <row r="24" ht="21.75" customHeight="1" s="118">
      <c r="A24" s="25" t="inlineStr">
        <is>
          <t>4.2.1</t>
        </is>
      </c>
      <c r="B24" s="23" t="inlineStr">
        <is>
          <t>Report 4 — SDS v1.2</t>
        </is>
      </c>
      <c r="C24" s="23" t="n"/>
      <c r="D24" s="19" t="n"/>
      <c r="E24" s="19" t="inlineStr">
        <is>
          <t>Week 8</t>
        </is>
      </c>
      <c r="F24" s="33">
        <f>IFERROR(H24/D24*100,"")</f>
        <v/>
      </c>
      <c r="G24" s="28" t="inlineStr">
        <is>
          <t>Done</t>
        </is>
      </c>
      <c r="H24" s="28" t="n"/>
      <c r="I24" s="23" t="n"/>
      <c r="J24" s="23" t="n"/>
      <c r="K24" s="23" t="n"/>
      <c r="L24" s="1" t="n"/>
      <c r="M24" s="1" t="n"/>
      <c r="N24" s="1" t="n"/>
      <c r="O24" s="1" t="n"/>
      <c r="P24" s="1" t="n"/>
      <c r="Q24" s="1" t="n"/>
      <c r="R24" s="1" t="n"/>
      <c r="S24" s="1" t="n"/>
      <c r="T24" s="1" t="n"/>
      <c r="U24" s="1" t="n"/>
      <c r="V24" s="1" t="n"/>
      <c r="W24" s="1" t="n"/>
      <c r="X24" s="1" t="n"/>
      <c r="Y24" s="1" t="n"/>
      <c r="Z24" s="1" t="n"/>
    </row>
    <row r="25" ht="21.75" customHeight="1" s="118">
      <c r="A25" s="25" t="inlineStr">
        <is>
          <t>4.2.2</t>
        </is>
      </c>
      <c r="B25" s="43" t="inlineStr">
        <is>
          <t>Code Package &amp; Unit Testing Report — Iteration 2</t>
        </is>
      </c>
      <c r="C25" s="43" t="n"/>
      <c r="D25" s="45" t="n"/>
      <c r="E25" s="45" t="inlineStr">
        <is>
          <t>Week 8</t>
        </is>
      </c>
      <c r="F25" s="33">
        <f>IFERROR(H25/D25*100,"")</f>
        <v/>
      </c>
      <c r="G25" s="28" t="inlineStr">
        <is>
          <t>Done</t>
        </is>
      </c>
      <c r="H25" s="28" t="n"/>
      <c r="I25" s="43" t="n"/>
      <c r="J25" s="43" t="n"/>
      <c r="K25" s="43" t="n"/>
      <c r="L25" s="1" t="n"/>
      <c r="M25" s="1" t="n"/>
      <c r="N25" s="1" t="n"/>
      <c r="O25" s="1" t="n"/>
      <c r="P25" s="1" t="n"/>
      <c r="Q25" s="1" t="n"/>
      <c r="R25" s="1" t="n"/>
      <c r="S25" s="1" t="n"/>
      <c r="T25" s="1" t="n"/>
      <c r="U25" s="1" t="n"/>
      <c r="V25" s="1" t="n"/>
      <c r="W25" s="1" t="n"/>
      <c r="X25" s="1" t="n"/>
      <c r="Y25" s="1" t="n"/>
      <c r="Z25" s="1" t="n"/>
    </row>
    <row r="26" ht="21.75" customHeight="1" s="118">
      <c r="A26" s="25" t="inlineStr">
        <is>
          <t>4.2.3</t>
        </is>
      </c>
      <c r="B26" s="23" t="inlineStr">
        <is>
          <t>Report 5 — Integration Test Cases — Iteration 2</t>
        </is>
      </c>
      <c r="C26" s="23" t="n"/>
      <c r="D26" s="19" t="n"/>
      <c r="E26" s="19" t="inlineStr">
        <is>
          <t>Week 8</t>
        </is>
      </c>
      <c r="F26" s="33">
        <f>IFERROR(H26/D26*100,"")</f>
        <v/>
      </c>
      <c r="G26" s="28" t="inlineStr">
        <is>
          <t>Done</t>
        </is>
      </c>
      <c r="H26" s="28" t="n"/>
      <c r="I26" s="23" t="n"/>
      <c r="J26" s="23" t="n"/>
      <c r="K26" s="23" t="n"/>
      <c r="L26" s="1" t="n"/>
      <c r="M26" s="1" t="n"/>
      <c r="N26" s="1" t="n"/>
      <c r="O26" s="1" t="n"/>
      <c r="P26" s="1" t="n"/>
      <c r="Q26" s="1" t="n"/>
      <c r="R26" s="1" t="n"/>
      <c r="S26" s="1" t="n"/>
      <c r="T26" s="1" t="n"/>
      <c r="U26" s="1" t="n"/>
      <c r="V26" s="1" t="n"/>
      <c r="W26" s="1" t="n"/>
      <c r="X26" s="1" t="n"/>
      <c r="Y26" s="1" t="n"/>
      <c r="Z26" s="1" t="n"/>
    </row>
    <row r="27" ht="21.75" customHeight="1" s="118">
      <c r="A27" s="25" t="inlineStr">
        <is>
          <t>4.2.4</t>
        </is>
      </c>
      <c r="B27" s="43" t="inlineStr">
        <is>
          <t>Report 5 — Integration Test Report — Iteration 2</t>
        </is>
      </c>
      <c r="C27" s="43" t="n"/>
      <c r="D27" s="45" t="n"/>
      <c r="E27" s="45" t="inlineStr">
        <is>
          <t>Week 9</t>
        </is>
      </c>
      <c r="F27" s="33">
        <f>IFERROR(H27/D27*100,"")</f>
        <v/>
      </c>
      <c r="G27" s="28" t="inlineStr">
        <is>
          <t>Done</t>
        </is>
      </c>
      <c r="H27" s="28" t="n"/>
      <c r="I27" s="43" t="n"/>
      <c r="J27" s="43" t="n"/>
      <c r="K27" s="43" t="n"/>
      <c r="L27" s="1" t="n"/>
      <c r="M27" s="1" t="n"/>
      <c r="N27" s="1" t="n"/>
      <c r="O27" s="1" t="n"/>
      <c r="P27" s="1" t="n"/>
      <c r="Q27" s="1" t="n"/>
      <c r="R27" s="1" t="n"/>
      <c r="S27" s="1" t="n"/>
      <c r="T27" s="1" t="n"/>
      <c r="U27" s="1" t="n"/>
      <c r="V27" s="1" t="n"/>
      <c r="W27" s="1" t="n"/>
      <c r="X27" s="1" t="n"/>
      <c r="Y27" s="1" t="n"/>
      <c r="Z27" s="1" t="n"/>
    </row>
    <row r="28" ht="21.75" customHeight="1" s="118">
      <c r="A28" s="25" t="inlineStr">
        <is>
          <t>4.2.5</t>
        </is>
      </c>
      <c r="B28" s="23" t="inlineStr">
        <is>
          <t>Report 3 — SRS v1.2 (Detailed — Iteration 3)</t>
        </is>
      </c>
      <c r="C28" s="23" t="n"/>
      <c r="D28" s="19" t="n"/>
      <c r="E28" s="19" t="inlineStr">
        <is>
          <t>Week 9</t>
        </is>
      </c>
      <c r="F28" s="33">
        <f>IFERROR(H28/D28*100,"")</f>
        <v/>
      </c>
      <c r="G28" s="28" t="inlineStr">
        <is>
          <t>Done</t>
        </is>
      </c>
      <c r="H28" s="28" t="n"/>
      <c r="I28" s="23" t="n"/>
      <c r="J28" s="23" t="n"/>
      <c r="K28" s="23" t="n"/>
      <c r="L28" s="1" t="n"/>
      <c r="M28" s="1" t="n"/>
      <c r="N28" s="1" t="n"/>
      <c r="O28" s="1" t="n"/>
      <c r="P28" s="1" t="n"/>
      <c r="Q28" s="1" t="n"/>
      <c r="R28" s="1" t="n"/>
      <c r="S28" s="1" t="n"/>
      <c r="T28" s="1" t="n"/>
      <c r="U28" s="1" t="n"/>
      <c r="V28" s="1" t="n"/>
      <c r="W28" s="1" t="n"/>
      <c r="X28" s="1" t="n"/>
      <c r="Y28" s="1" t="n"/>
      <c r="Z28" s="1" t="n"/>
    </row>
    <row r="29" ht="21.75" customHeight="1" s="118">
      <c r="A29" s="25" t="inlineStr">
        <is>
          <t>4.2.6</t>
        </is>
      </c>
      <c r="B29" s="43" t="inlineStr">
        <is>
          <t>Software Package Version 2</t>
        </is>
      </c>
      <c r="C29" s="43" t="n"/>
      <c r="D29" s="45" t="n"/>
      <c r="E29" s="45" t="inlineStr">
        <is>
          <t>Week 9</t>
        </is>
      </c>
      <c r="F29" s="33">
        <f>IFERROR(H29/D29*100,"")</f>
        <v/>
      </c>
      <c r="G29" s="28" t="inlineStr">
        <is>
          <t>Done</t>
        </is>
      </c>
      <c r="H29" s="28" t="n"/>
      <c r="I29" s="43" t="n"/>
      <c r="J29" s="43" t="n"/>
      <c r="K29" s="43" t="n"/>
      <c r="L29" s="1" t="n"/>
      <c r="M29" s="1" t="n"/>
      <c r="N29" s="1" t="n"/>
      <c r="O29" s="1" t="n"/>
      <c r="P29" s="1" t="n"/>
      <c r="Q29" s="1" t="n"/>
      <c r="R29" s="1" t="n"/>
      <c r="S29" s="1" t="n"/>
      <c r="T29" s="1" t="n"/>
      <c r="U29" s="1" t="n"/>
      <c r="V29" s="1" t="n"/>
      <c r="W29" s="1" t="n"/>
      <c r="X29" s="1" t="n"/>
      <c r="Y29" s="1" t="n"/>
      <c r="Z29" s="1" t="n"/>
    </row>
    <row r="30" ht="19.5" customHeight="1" s="118">
      <c r="A30" s="120" t="inlineStr">
        <is>
          <t xml:space="preserve">  Stage 4c: Implementation — Iteration 3 (Weeks 10–11)</t>
        </is>
      </c>
      <c r="L30" s="1" t="n"/>
      <c r="M30" s="1" t="n"/>
      <c r="N30" s="1" t="n"/>
      <c r="O30" s="1" t="n"/>
      <c r="P30" s="1" t="n"/>
      <c r="Q30" s="1" t="n"/>
      <c r="R30" s="1" t="n"/>
      <c r="S30" s="1" t="n"/>
      <c r="T30" s="1" t="n"/>
      <c r="U30" s="1" t="n"/>
      <c r="V30" s="1" t="n"/>
      <c r="W30" s="1" t="n"/>
      <c r="X30" s="1" t="n"/>
      <c r="Y30" s="1" t="n"/>
      <c r="Z30" s="1" t="n"/>
    </row>
    <row r="31" ht="21.75" customHeight="1" s="118">
      <c r="A31" s="25" t="inlineStr">
        <is>
          <t>4.3.1</t>
        </is>
      </c>
      <c r="B31" s="23" t="inlineStr">
        <is>
          <t>Report 4 — SDS v1.3</t>
        </is>
      </c>
      <c r="C31" s="23" t="n"/>
      <c r="D31" s="19" t="n"/>
      <c r="E31" s="19" t="inlineStr">
        <is>
          <t>Week 10</t>
        </is>
      </c>
      <c r="F31" s="33">
        <f>IFERROR(H31/D31*100,"")</f>
        <v/>
      </c>
      <c r="G31" s="28" t="inlineStr">
        <is>
          <t>Done</t>
        </is>
      </c>
      <c r="H31" s="28" t="n"/>
      <c r="I31" s="23" t="n"/>
      <c r="J31" s="23" t="n"/>
      <c r="K31" s="23" t="n"/>
      <c r="L31" s="1" t="n"/>
      <c r="M31" s="1" t="n"/>
      <c r="N31" s="1" t="n"/>
      <c r="O31" s="1" t="n"/>
      <c r="P31" s="1" t="n"/>
      <c r="Q31" s="1" t="n"/>
      <c r="R31" s="1" t="n"/>
      <c r="S31" s="1" t="n"/>
      <c r="T31" s="1" t="n"/>
      <c r="U31" s="1" t="n"/>
      <c r="V31" s="1" t="n"/>
      <c r="W31" s="1" t="n"/>
      <c r="X31" s="1" t="n"/>
      <c r="Y31" s="1" t="n"/>
      <c r="Z31" s="1" t="n"/>
    </row>
    <row r="32" ht="21.75" customHeight="1" s="118">
      <c r="A32" s="25" t="inlineStr">
        <is>
          <t>4.3.2</t>
        </is>
      </c>
      <c r="B32" s="43" t="inlineStr">
        <is>
          <t>Code Package &amp; Unit Testing Report — Iteration 3</t>
        </is>
      </c>
      <c r="C32" s="43" t="n"/>
      <c r="D32" s="45" t="n"/>
      <c r="E32" s="45" t="inlineStr">
        <is>
          <t>Week 10</t>
        </is>
      </c>
      <c r="F32" s="33">
        <f>IFERROR(H32/D32*100,"")</f>
        <v/>
      </c>
      <c r="G32" s="28" t="inlineStr">
        <is>
          <t>Done</t>
        </is>
      </c>
      <c r="H32" s="28" t="n"/>
      <c r="I32" s="43" t="n"/>
      <c r="J32" s="43" t="n"/>
      <c r="K32" s="43" t="n"/>
      <c r="L32" s="1" t="n"/>
      <c r="M32" s="1" t="n"/>
      <c r="N32" s="1" t="n"/>
      <c r="O32" s="1" t="n"/>
      <c r="P32" s="1" t="n"/>
      <c r="Q32" s="1" t="n"/>
      <c r="R32" s="1" t="n"/>
      <c r="S32" s="1" t="n"/>
      <c r="T32" s="1" t="n"/>
      <c r="U32" s="1" t="n"/>
      <c r="V32" s="1" t="n"/>
      <c r="W32" s="1" t="n"/>
      <c r="X32" s="1" t="n"/>
      <c r="Y32" s="1" t="n"/>
      <c r="Z32" s="1" t="n"/>
    </row>
    <row r="33" ht="21.75" customHeight="1" s="118">
      <c r="A33" s="25" t="inlineStr">
        <is>
          <t>4.3.3</t>
        </is>
      </c>
      <c r="B33" s="23" t="inlineStr">
        <is>
          <t>Report 5 — Integration Test Cases — Iteration 3</t>
        </is>
      </c>
      <c r="C33" s="23" t="n"/>
      <c r="D33" s="19" t="n"/>
      <c r="E33" s="19" t="inlineStr">
        <is>
          <t>Week 10</t>
        </is>
      </c>
      <c r="F33" s="33">
        <f>IFERROR(H33/D33*100,"")</f>
        <v/>
      </c>
      <c r="G33" s="28" t="inlineStr">
        <is>
          <t>Done</t>
        </is>
      </c>
      <c r="H33" s="28" t="n"/>
      <c r="I33" s="23" t="n"/>
      <c r="J33" s="23" t="n"/>
      <c r="K33" s="23" t="n"/>
      <c r="L33" s="1" t="n"/>
      <c r="M33" s="1" t="n"/>
      <c r="N33" s="1" t="n"/>
      <c r="O33" s="1" t="n"/>
      <c r="P33" s="1" t="n"/>
      <c r="Q33" s="1" t="n"/>
      <c r="R33" s="1" t="n"/>
      <c r="S33" s="1" t="n"/>
      <c r="T33" s="1" t="n"/>
      <c r="U33" s="1" t="n"/>
      <c r="V33" s="1" t="n"/>
      <c r="W33" s="1" t="n"/>
      <c r="X33" s="1" t="n"/>
      <c r="Y33" s="1" t="n"/>
      <c r="Z33" s="1" t="n"/>
    </row>
    <row r="34" ht="21.75" customHeight="1" s="118">
      <c r="A34" s="25" t="inlineStr">
        <is>
          <t>4.3.4</t>
        </is>
      </c>
      <c r="B34" s="43" t="inlineStr">
        <is>
          <t>Report 5 — Integration Test Report — Iteration 3</t>
        </is>
      </c>
      <c r="C34" s="43" t="n"/>
      <c r="D34" s="45" t="n"/>
      <c r="E34" s="45" t="inlineStr">
        <is>
          <t>Week 11</t>
        </is>
      </c>
      <c r="F34" s="33">
        <f>IFERROR(H34/D34*100,"")</f>
        <v/>
      </c>
      <c r="G34" s="28" t="inlineStr">
        <is>
          <t>Done</t>
        </is>
      </c>
      <c r="H34" s="28" t="n"/>
      <c r="I34" s="43" t="n"/>
      <c r="J34" s="43" t="n"/>
      <c r="K34" s="43" t="n"/>
      <c r="L34" s="1" t="n"/>
      <c r="M34" s="1" t="n"/>
      <c r="N34" s="1" t="n"/>
      <c r="O34" s="1" t="n"/>
      <c r="P34" s="1" t="n"/>
      <c r="Q34" s="1" t="n"/>
      <c r="R34" s="1" t="n"/>
      <c r="S34" s="1" t="n"/>
      <c r="T34" s="1" t="n"/>
      <c r="U34" s="1" t="n"/>
      <c r="V34" s="1" t="n"/>
      <c r="W34" s="1" t="n"/>
      <c r="X34" s="1" t="n"/>
      <c r="Y34" s="1" t="n"/>
      <c r="Z34" s="1" t="n"/>
    </row>
    <row r="35" ht="21.75" customHeight="1" s="118">
      <c r="A35" s="25" t="inlineStr">
        <is>
          <t>4.3.5</t>
        </is>
      </c>
      <c r="B35" s="23" t="inlineStr">
        <is>
          <t>Report 5 — System Test Cases</t>
        </is>
      </c>
      <c r="C35" s="23" t="n"/>
      <c r="D35" s="19" t="n"/>
      <c r="E35" s="19" t="inlineStr">
        <is>
          <t>Week 11</t>
        </is>
      </c>
      <c r="F35" s="33">
        <f>IFERROR(H35/D35*100,"")</f>
        <v/>
      </c>
      <c r="G35" s="28" t="inlineStr">
        <is>
          <t>Done</t>
        </is>
      </c>
      <c r="H35" s="28" t="n"/>
      <c r="I35" s="23" t="n"/>
      <c r="J35" s="23" t="n"/>
      <c r="K35" s="23" t="n"/>
      <c r="L35" s="1" t="n"/>
      <c r="M35" s="1" t="n"/>
      <c r="N35" s="1" t="n"/>
      <c r="O35" s="1" t="n"/>
      <c r="P35" s="1" t="n"/>
      <c r="Q35" s="1" t="n"/>
      <c r="R35" s="1" t="n"/>
      <c r="S35" s="1" t="n"/>
      <c r="T35" s="1" t="n"/>
      <c r="U35" s="1" t="n"/>
      <c r="V35" s="1" t="n"/>
      <c r="W35" s="1" t="n"/>
      <c r="X35" s="1" t="n"/>
      <c r="Y35" s="1" t="n"/>
      <c r="Z35" s="1" t="n"/>
    </row>
    <row r="36" ht="21.75" customHeight="1" s="118">
      <c r="A36" s="25" t="inlineStr">
        <is>
          <t>4.3.6</t>
        </is>
      </c>
      <c r="B36" s="43" t="inlineStr">
        <is>
          <t>Software Package Version 3</t>
        </is>
      </c>
      <c r="C36" s="43" t="n"/>
      <c r="D36" s="45" t="n"/>
      <c r="E36" s="45" t="inlineStr">
        <is>
          <t>Week 11</t>
        </is>
      </c>
      <c r="F36" s="33">
        <f>IFERROR(H36/D36*100,"")</f>
        <v/>
      </c>
      <c r="G36" s="28" t="inlineStr">
        <is>
          <t>Done</t>
        </is>
      </c>
      <c r="H36" s="28" t="n"/>
      <c r="I36" s="43" t="n"/>
      <c r="J36" s="43" t="n"/>
      <c r="K36" s="43" t="n"/>
      <c r="L36" s="1" t="n"/>
      <c r="M36" s="1" t="n"/>
      <c r="N36" s="1" t="n"/>
      <c r="O36" s="1" t="n"/>
      <c r="P36" s="1" t="n"/>
      <c r="Q36" s="1" t="n"/>
      <c r="R36" s="1" t="n"/>
      <c r="S36" s="1" t="n"/>
      <c r="T36" s="1" t="n"/>
      <c r="U36" s="1" t="n"/>
      <c r="V36" s="1" t="n"/>
      <c r="W36" s="1" t="n"/>
      <c r="X36" s="1" t="n"/>
      <c r="Y36" s="1" t="n"/>
      <c r="Z36" s="1" t="n"/>
    </row>
    <row r="37" ht="19.5" customHeight="1" s="118">
      <c r="A37" s="120" t="inlineStr">
        <is>
          <t xml:space="preserve">  Stage 5: Verification &amp; Validation (Weeks 12–13)</t>
        </is>
      </c>
      <c r="L37" s="1" t="n"/>
      <c r="M37" s="1" t="n"/>
      <c r="N37" s="1" t="n"/>
      <c r="O37" s="1" t="n"/>
      <c r="P37" s="1" t="n"/>
      <c r="Q37" s="1" t="n"/>
      <c r="R37" s="1" t="n"/>
      <c r="S37" s="1" t="n"/>
      <c r="T37" s="1" t="n"/>
      <c r="U37" s="1" t="n"/>
      <c r="V37" s="1" t="n"/>
      <c r="W37" s="1" t="n"/>
      <c r="X37" s="1" t="n"/>
      <c r="Y37" s="1" t="n"/>
      <c r="Z37" s="1" t="n"/>
    </row>
    <row r="38" ht="21.75" customHeight="1" s="118">
      <c r="A38" s="25" t="inlineStr">
        <is>
          <t>5.1</t>
        </is>
      </c>
      <c r="B38" s="23" t="inlineStr">
        <is>
          <t>Report 5 — System Test Report</t>
        </is>
      </c>
      <c r="C38" s="23" t="n"/>
      <c r="D38" s="19" t="n"/>
      <c r="E38" s="19" t="inlineStr">
        <is>
          <t>Week 12</t>
        </is>
      </c>
      <c r="F38" s="33">
        <f>IFERROR(H38/D38*100,"")</f>
        <v/>
      </c>
      <c r="G38" s="28" t="inlineStr">
        <is>
          <t>Done</t>
        </is>
      </c>
      <c r="H38" s="28" t="n"/>
      <c r="I38" s="23" t="n"/>
      <c r="J38" s="23" t="n"/>
      <c r="K38" s="23" t="n"/>
      <c r="L38" s="1" t="n"/>
      <c r="M38" s="1" t="n"/>
      <c r="N38" s="1" t="n"/>
      <c r="O38" s="1" t="n"/>
      <c r="P38" s="1" t="n"/>
      <c r="Q38" s="1" t="n"/>
      <c r="R38" s="1" t="n"/>
      <c r="S38" s="1" t="n"/>
      <c r="T38" s="1" t="n"/>
      <c r="U38" s="1" t="n"/>
      <c r="V38" s="1" t="n"/>
      <c r="W38" s="1" t="n"/>
      <c r="X38" s="1" t="n"/>
      <c r="Y38" s="1" t="n"/>
      <c r="Z38" s="1" t="n"/>
    </row>
    <row r="39" ht="21.75" customHeight="1" s="118">
      <c r="A39" s="25" t="inlineStr">
        <is>
          <t>5.2</t>
        </is>
      </c>
      <c r="B39" s="43" t="inlineStr">
        <is>
          <t>Report 6 — User Guides (Installation + User Manuals)</t>
        </is>
      </c>
      <c r="C39" s="43" t="n"/>
      <c r="D39" s="45" t="n"/>
      <c r="E39" s="45" t="inlineStr">
        <is>
          <t>Week 12</t>
        </is>
      </c>
      <c r="F39" s="33">
        <f>IFERROR(H39/D39*100,"")</f>
        <v/>
      </c>
      <c r="G39" s="28" t="inlineStr">
        <is>
          <t>Done</t>
        </is>
      </c>
      <c r="H39" s="28" t="n"/>
      <c r="I39" s="43" t="n"/>
      <c r="J39" s="43" t="n"/>
      <c r="K39" s="43" t="n"/>
      <c r="L39" s="1" t="n"/>
      <c r="M39" s="1" t="n"/>
      <c r="N39" s="1" t="n"/>
      <c r="O39" s="1" t="n"/>
      <c r="P39" s="1" t="n"/>
      <c r="Q39" s="1" t="n"/>
      <c r="R39" s="1" t="n"/>
      <c r="S39" s="1" t="n"/>
      <c r="T39" s="1" t="n"/>
      <c r="U39" s="1" t="n"/>
      <c r="V39" s="1" t="n"/>
      <c r="W39" s="1" t="n"/>
      <c r="X39" s="1" t="n"/>
      <c r="Y39" s="1" t="n"/>
      <c r="Z39" s="1" t="n"/>
    </row>
    <row r="40" ht="21.75" customHeight="1" s="118">
      <c r="A40" s="25" t="inlineStr">
        <is>
          <t>5.3</t>
        </is>
      </c>
      <c r="B40" s="23" t="inlineStr">
        <is>
          <t>Acceptance Test and Support</t>
        </is>
      </c>
      <c r="C40" s="23" t="n"/>
      <c r="D40" s="19" t="n"/>
      <c r="E40" s="19" t="inlineStr">
        <is>
          <t>Week 13</t>
        </is>
      </c>
      <c r="F40" s="33">
        <f>IFERROR(H40/D40*100,"")</f>
        <v/>
      </c>
      <c r="G40" s="28" t="inlineStr">
        <is>
          <t>Done</t>
        </is>
      </c>
      <c r="H40" s="28" t="n"/>
      <c r="I40" s="23" t="n"/>
      <c r="J40" s="23" t="n"/>
      <c r="K40" s="23" t="n"/>
      <c r="L40" s="1" t="n"/>
      <c r="M40" s="1" t="n"/>
      <c r="N40" s="1" t="n"/>
      <c r="O40" s="1" t="n"/>
      <c r="P40" s="1" t="n"/>
      <c r="Q40" s="1" t="n"/>
      <c r="R40" s="1" t="n"/>
      <c r="S40" s="1" t="n"/>
      <c r="T40" s="1" t="n"/>
      <c r="U40" s="1" t="n"/>
      <c r="V40" s="1" t="n"/>
      <c r="W40" s="1" t="n"/>
      <c r="X40" s="1" t="n"/>
      <c r="Y40" s="1" t="n"/>
      <c r="Z40" s="1" t="n"/>
    </row>
    <row r="41" ht="21.75" customHeight="1" s="118">
      <c r="A41" s="25" t="inlineStr">
        <is>
          <t>5.4</t>
        </is>
      </c>
      <c r="B41" s="43" t="inlineStr">
        <is>
          <t>Final Software Package (Docs + Source Codes)</t>
        </is>
      </c>
      <c r="C41" s="43" t="n"/>
      <c r="D41" s="45" t="n"/>
      <c r="E41" s="45" t="inlineStr">
        <is>
          <t>Week 13</t>
        </is>
      </c>
      <c r="F41" s="33">
        <f>IFERROR(H41/D41*100,"")</f>
        <v/>
      </c>
      <c r="G41" s="28" t="inlineStr">
        <is>
          <t>Done</t>
        </is>
      </c>
      <c r="H41" s="28" t="n"/>
      <c r="I41" s="43" t="n"/>
      <c r="J41" s="43" t="n"/>
      <c r="K41" s="43" t="n"/>
      <c r="L41" s="1" t="n"/>
      <c r="M41" s="1" t="n"/>
      <c r="N41" s="1" t="n"/>
      <c r="O41" s="1" t="n"/>
      <c r="P41" s="1" t="n"/>
      <c r="Q41" s="1" t="n"/>
      <c r="R41" s="1" t="n"/>
      <c r="S41" s="1" t="n"/>
      <c r="T41" s="1" t="n"/>
      <c r="U41" s="1" t="n"/>
      <c r="V41" s="1" t="n"/>
      <c r="W41" s="1" t="n"/>
      <c r="X41" s="1" t="n"/>
      <c r="Y41" s="1" t="n"/>
      <c r="Z41" s="1" t="n"/>
    </row>
    <row r="42" ht="19.5" customHeight="1" s="118">
      <c r="A42" s="120" t="inlineStr">
        <is>
          <t xml:space="preserve">  Stage 6: Closing (Week 14)</t>
        </is>
      </c>
      <c r="L42" s="1" t="n"/>
      <c r="M42" s="1" t="n"/>
      <c r="N42" s="1" t="n"/>
      <c r="O42" s="1" t="n"/>
      <c r="P42" s="1" t="n"/>
      <c r="Q42" s="1" t="n"/>
      <c r="R42" s="1" t="n"/>
      <c r="S42" s="1" t="n"/>
      <c r="T42" s="1" t="n"/>
      <c r="U42" s="1" t="n"/>
      <c r="V42" s="1" t="n"/>
      <c r="W42" s="1" t="n"/>
      <c r="X42" s="1" t="n"/>
      <c r="Y42" s="1" t="n"/>
      <c r="Z42" s="1" t="n"/>
    </row>
    <row r="43" ht="21.75" customHeight="1" s="118">
      <c r="A43" s="25" t="inlineStr">
        <is>
          <t>6.1</t>
        </is>
      </c>
      <c r="B43" s="23" t="inlineStr">
        <is>
          <t>Report 7 — Final Project Report</t>
        </is>
      </c>
      <c r="C43" s="23" t="n"/>
      <c r="D43" s="19" t="n"/>
      <c r="E43" s="19" t="inlineStr">
        <is>
          <t>Week 14</t>
        </is>
      </c>
      <c r="F43" s="33">
        <f>IFERROR(H43/D43*100,"")</f>
        <v/>
      </c>
      <c r="G43" s="28" t="inlineStr">
        <is>
          <t>Not Started</t>
        </is>
      </c>
      <c r="H43" s="28" t="n"/>
      <c r="I43" s="23" t="n"/>
      <c r="J43" s="23" t="n"/>
      <c r="K43" s="23" t="n"/>
      <c r="L43" s="1" t="n"/>
      <c r="M43" s="1" t="n"/>
      <c r="N43" s="1" t="n"/>
      <c r="O43" s="1" t="n"/>
      <c r="P43" s="1" t="n"/>
      <c r="Q43" s="1" t="n"/>
      <c r="R43" s="1" t="n"/>
      <c r="S43" s="1" t="n"/>
      <c r="T43" s="1" t="n"/>
      <c r="U43" s="1" t="n"/>
      <c r="V43" s="1" t="n"/>
      <c r="W43" s="1" t="n"/>
      <c r="X43" s="1" t="n"/>
      <c r="Y43" s="1" t="n"/>
      <c r="Z43" s="1" t="n"/>
    </row>
    <row r="44" ht="21.75" customHeight="1" s="118">
      <c r="A44" s="25" t="inlineStr">
        <is>
          <t>6.2</t>
        </is>
      </c>
      <c r="B44" s="43" t="inlineStr">
        <is>
          <t>Presentation File</t>
        </is>
      </c>
      <c r="C44" s="43" t="n"/>
      <c r="D44" s="45" t="n"/>
      <c r="E44" s="45" t="inlineStr">
        <is>
          <t>Week 14</t>
        </is>
      </c>
      <c r="F44" s="33">
        <f>IFERROR(H44/D44*100,"")</f>
        <v/>
      </c>
      <c r="G44" s="28" t="inlineStr">
        <is>
          <t>Not Started</t>
        </is>
      </c>
      <c r="H44" s="28" t="n"/>
      <c r="I44" s="43" t="n"/>
      <c r="J44" s="43" t="n"/>
      <c r="K44" s="43" t="n"/>
      <c r="L44" s="1" t="n"/>
      <c r="M44" s="1" t="n"/>
      <c r="N44" s="1" t="n"/>
      <c r="O44" s="1" t="n"/>
      <c r="P44" s="1" t="n"/>
      <c r="Q44" s="1" t="n"/>
      <c r="R44" s="1" t="n"/>
      <c r="S44" s="1" t="n"/>
      <c r="T44" s="1" t="n"/>
      <c r="U44" s="1" t="n"/>
      <c r="V44" s="1" t="n"/>
      <c r="W44" s="1" t="n"/>
      <c r="X44" s="1" t="n"/>
      <c r="Y44" s="1" t="n"/>
      <c r="Z44" s="1" t="n"/>
    </row>
    <row r="45" ht="14.25" customHeight="1" s="1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1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1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1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1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1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1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1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1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1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1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1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1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1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1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1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1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1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1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1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1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1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1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1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1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1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1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1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1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1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1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1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1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1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1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1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1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1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1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1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1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1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1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1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1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1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1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1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1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1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1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1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1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1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1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1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1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1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1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1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1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1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1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1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1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1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1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1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1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1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1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1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1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1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1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1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1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1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1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1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1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1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1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1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1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1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1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1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1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1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1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1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1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1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1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1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1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1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1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1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1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1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1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1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1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1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1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1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1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1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1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1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1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1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1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1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1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1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1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1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1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1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1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1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1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1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1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1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1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1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1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1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1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1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1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1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1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1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1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1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1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1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1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1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1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1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1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1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1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1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1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1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1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1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1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11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11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11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11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11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11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11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11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11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11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11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11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11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11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11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11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11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1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11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11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1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s="1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s="1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s="1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s="1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s="1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s="1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s="1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s="1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s="1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s="1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s="1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s="1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s="1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s="1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s="1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s="1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s="1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s="1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s="1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s="1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s="1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s="1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s="1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0">
    <mergeCell ref="A37:K37"/>
    <mergeCell ref="A30:K30"/>
    <mergeCell ref="A7:K7"/>
    <mergeCell ref="A2:K2"/>
    <mergeCell ref="A11:K11"/>
    <mergeCell ref="A16:K16"/>
    <mergeCell ref="A1:K1"/>
    <mergeCell ref="A42:K42"/>
    <mergeCell ref="A5:K5"/>
    <mergeCell ref="A23:K23"/>
  </mergeCells>
  <conditionalFormatting sqref="G5:G1000">
    <cfRule type="cellIs" priority="1" operator="equal" dxfId="0">
      <formula>"Done"</formula>
    </cfRule>
    <cfRule type="cellIs" priority="2" operator="equal" dxfId="0">
      <formula>"Completed"</formula>
    </cfRule>
    <cfRule type="cellIs" priority="3" operator="equal" dxfId="0">
      <formula>"Closed"</formula>
    </cfRule>
    <cfRule type="cellIs" priority="4" operator="equal" dxfId="0">
      <formula>"Fixed"</formula>
    </cfRule>
    <cfRule type="cellIs" priority="5" operator="equal" dxfId="0">
      <formula>"Approved"</formula>
    </cfRule>
    <cfRule type="cellIs" priority="6" operator="equal" dxfId="1">
      <formula>"In Progress"</formula>
    </cfRule>
    <cfRule type="cellIs" priority="7" operator="equal" dxfId="2">
      <formula>"Open"</formula>
    </cfRule>
    <cfRule type="cellIs" priority="8" operator="equal" dxfId="1">
      <formula>"Pending"</formula>
    </cfRule>
    <cfRule type="cellIs" priority="9" operator="equal" dxfId="2">
      <formula>"Blocked"</formula>
    </cfRule>
    <cfRule type="cellIs" priority="10" operator="equal" dxfId="3">
      <formula>"Cancelled"</formula>
    </cfRule>
    <cfRule type="cellIs" priority="11" operator="equal" dxfId="2">
      <formula>"Rejected"</formula>
    </cfRule>
    <cfRule type="cellIs" priority="12" operator="equal" dxfId="4">
      <formula>"Submitted"</formula>
    </cfRule>
  </conditionalFormatting>
  <dataValidations count="1">
    <dataValidation sqref="G6 G8:G10 G12:G15 G17:G22 G24:G29 G31:G36 G38:G41 G43:G44" showDropDown="0" showInputMessage="0" showErrorMessage="0" allowBlank="1" type="list">
      <formula1>"Not Started,In Progress,Done,Blocked,Deferred"</formula1>
    </dataValidation>
  </dataValidations>
  <pageMargins left="0.75" right="0.75" top="1" bottom="1" header="0" footer="0"/>
  <pageSetup orientation="landscape"/>
</worksheet>
</file>

<file path=xl/worksheets/sheet3.xml><?xml version="1.0" encoding="utf-8"?>
<worksheet xmlns="http://schemas.openxmlformats.org/spreadsheetml/2006/main">
  <sheetPr>
    <tabColor rgb="FF375623"/>
    <outlinePr summaryBelow="1" summaryRight="1"/>
    <pageSetUpPr/>
  </sheetPr>
  <dimension ref="A1:AA1000"/>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6.29" customWidth="1" style="118" min="1" max="1"/>
    <col width="106.29" customWidth="1" style="118" min="2" max="2"/>
    <col width="15.43" customWidth="1" style="118" min="3" max="3"/>
    <col width="23.43" customWidth="1" style="118" min="4" max="4"/>
    <col width="18.29" customWidth="1" style="118" min="5" max="5"/>
    <col width="41" customWidth="1" style="118" min="6" max="6"/>
    <col width="13.71" customWidth="1" style="118" min="7" max="7"/>
    <col width="16" customWidth="1" style="118" min="8" max="8"/>
    <col width="18.29" customWidth="1" style="118" min="9" max="9"/>
    <col width="16" customWidth="1" style="118" min="10" max="12"/>
    <col width="22.86" customWidth="1" style="118" min="13" max="13"/>
    <col width="10" customWidth="1" style="118" min="14" max="27"/>
  </cols>
  <sheetData>
    <row r="1" ht="27.75" customHeight="1" s="118">
      <c r="A1" s="1" t="n"/>
      <c r="B1" s="3" t="inlineStr">
        <is>
          <t>WBS — Work Breakdown Structure (Function / Screen Level)</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c r="A2" s="1" t="n"/>
      <c r="B2" s="6" t="inlineStr">
        <is>
          <t>Complexity: Simple (≤7 fields / ≤3 tx)  ·  Medium (≤15 / ≤7)  ·  Complex (&gt;15 / &gt;7)  ·  Effort: Simple=3 / Medium=5 / Complex=8 pts (default)</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row>
    <row r="4">
      <c r="A4" s="11" t="inlineStr">
        <is>
          <t>#</t>
        </is>
      </c>
      <c r="B4" s="13" t="inlineStr">
        <is>
          <t>Function / Screen</t>
        </is>
      </c>
      <c r="C4" s="13" t="inlineStr">
        <is>
          <t>Type</t>
        </is>
      </c>
      <c r="D4" s="13" t="inlineStr">
        <is>
          <t>Feature Group</t>
        </is>
      </c>
      <c r="E4" s="13" t="inlineStr">
        <is>
          <t>Sub-Feature</t>
        </is>
      </c>
      <c r="F4" s="13" t="inlineStr">
        <is>
          <t>Description</t>
        </is>
      </c>
      <c r="G4" s="13" t="inlineStr">
        <is>
          <t>Complexity</t>
        </is>
      </c>
      <c r="H4" s="13" t="inlineStr">
        <is>
          <t>Est. Effort (pts)</t>
        </is>
      </c>
      <c r="I4" s="13" t="inlineStr">
        <is>
          <t>Planned Iteration</t>
        </is>
      </c>
      <c r="J4" s="13" t="inlineStr">
        <is>
          <t>In Charge</t>
        </is>
      </c>
      <c r="K4" s="13" t="inlineStr">
        <is>
          <t>Actual Effort (pts)</t>
        </is>
      </c>
      <c r="L4" s="13" t="inlineStr">
        <is>
          <t>Status</t>
        </is>
      </c>
      <c r="M4" s="13" t="inlineStr">
        <is>
          <t>Notes</t>
        </is>
      </c>
      <c r="N4" s="1" t="n"/>
      <c r="O4" s="1" t="n"/>
      <c r="P4" s="1" t="n"/>
      <c r="Q4" s="1" t="n"/>
      <c r="R4" s="1" t="n"/>
      <c r="S4" s="1" t="n"/>
      <c r="T4" s="1" t="n"/>
      <c r="U4" s="1" t="n"/>
      <c r="V4" s="1" t="n"/>
      <c r="W4" s="1" t="n"/>
      <c r="X4" s="1" t="n"/>
      <c r="Y4" s="1" t="n"/>
      <c r="Z4" s="1" t="n"/>
      <c r="AA4" s="1" t="n"/>
    </row>
    <row r="5">
      <c r="A5" s="26" t="n">
        <v>1</v>
      </c>
      <c r="B5" s="27" t="inlineStr">
        <is>
          <t>Create AGV</t>
        </is>
      </c>
      <c r="C5" s="29" t="inlineStr">
        <is>
          <t>Screen</t>
        </is>
      </c>
      <c r="D5" s="30" t="inlineStr">
        <is>
          <t>FE-01: AGV Fleet Management</t>
        </is>
      </c>
      <c r="E5" s="31" t="inlineStr">
        <is>
          <t>AGV Profile</t>
        </is>
      </c>
      <c r="F5" s="30" t="inlineStr">
        <is>
          <t>Add a new AGV to the system database.</t>
        </is>
      </c>
      <c r="G5" s="32" t="inlineStr">
        <is>
          <t>Simple</t>
        </is>
      </c>
      <c r="H5" s="31" t="n">
        <v>3</v>
      </c>
      <c r="I5" s="35" t="inlineStr">
        <is>
          <t>Iteration 1</t>
        </is>
      </c>
      <c r="J5" s="36" t="inlineStr">
        <is>
          <t>HungPV</t>
        </is>
      </c>
      <c r="K5" s="37" t="n"/>
      <c r="L5" s="38" t="inlineStr">
        <is>
          <t>Done</t>
        </is>
      </c>
      <c r="M5" s="37" t="n"/>
      <c r="N5" s="1" t="n"/>
      <c r="O5" s="1" t="n"/>
      <c r="P5" s="1" t="n"/>
      <c r="Q5" s="1" t="n"/>
      <c r="R5" s="1" t="n"/>
      <c r="S5" s="1" t="n"/>
      <c r="T5" s="1" t="n"/>
      <c r="U5" s="1" t="n"/>
      <c r="V5" s="1" t="n"/>
      <c r="W5" s="1" t="n"/>
      <c r="X5" s="1" t="n"/>
      <c r="Y5" s="1" t="n"/>
      <c r="Z5" s="1" t="n"/>
      <c r="AA5" s="1" t="n"/>
    </row>
    <row r="6">
      <c r="A6" s="40" t="n">
        <v>2</v>
      </c>
      <c r="B6" s="27" t="inlineStr">
        <is>
          <t>Update AGV information</t>
        </is>
      </c>
      <c r="C6" s="29" t="inlineStr">
        <is>
          <t>Screen</t>
        </is>
      </c>
      <c r="D6" s="30" t="inlineStr">
        <is>
          <t>FE-01: AGV Fleet Management</t>
        </is>
      </c>
      <c r="E6" s="31" t="inlineStr">
        <is>
          <t>AGV Profile</t>
        </is>
      </c>
      <c r="F6" s="30" t="inlineStr">
        <is>
          <t>Modify existing AGV details (name, model, etc.).</t>
        </is>
      </c>
      <c r="G6" s="32" t="inlineStr">
        <is>
          <t>Simple</t>
        </is>
      </c>
      <c r="H6" s="31" t="n">
        <v>3</v>
      </c>
      <c r="I6" s="35" t="inlineStr">
        <is>
          <t>Iteration 1</t>
        </is>
      </c>
      <c r="J6" s="36" t="inlineStr">
        <is>
          <t>HungPV</t>
        </is>
      </c>
      <c r="K6" s="34" t="n"/>
      <c r="L6" s="38" t="inlineStr">
        <is>
          <t>Done</t>
        </is>
      </c>
      <c r="M6" s="34" t="n"/>
      <c r="N6" s="1" t="n"/>
      <c r="O6" s="1" t="n"/>
      <c r="P6" s="1" t="n"/>
      <c r="Q6" s="1" t="n"/>
      <c r="R6" s="1" t="n"/>
      <c r="S6" s="1" t="n"/>
      <c r="T6" s="1" t="n"/>
      <c r="U6" s="1" t="n"/>
      <c r="V6" s="1" t="n"/>
      <c r="W6" s="1" t="n"/>
      <c r="X6" s="1" t="n"/>
      <c r="Y6" s="1" t="n"/>
      <c r="Z6" s="1" t="n"/>
      <c r="AA6" s="1" t="n"/>
    </row>
    <row r="7">
      <c r="A7" s="26" t="n">
        <v>3</v>
      </c>
      <c r="B7" s="27" t="inlineStr">
        <is>
          <t>Delete AGV</t>
        </is>
      </c>
      <c r="C7" s="29" t="inlineStr">
        <is>
          <t>Screen</t>
        </is>
      </c>
      <c r="D7" s="30" t="inlineStr">
        <is>
          <t>FE-01: AGV Fleet Management</t>
        </is>
      </c>
      <c r="E7" s="31" t="inlineStr">
        <is>
          <t>AGV Profile</t>
        </is>
      </c>
      <c r="F7" s="30" t="inlineStr">
        <is>
          <t>Remove an AGV record from the system.</t>
        </is>
      </c>
      <c r="G7" s="32" t="inlineStr">
        <is>
          <t>Simple</t>
        </is>
      </c>
      <c r="H7" s="31" t="n">
        <v>3</v>
      </c>
      <c r="I7" s="35" t="inlineStr">
        <is>
          <t>Iteration 1</t>
        </is>
      </c>
      <c r="J7" s="36" t="inlineStr">
        <is>
          <t>HungPV</t>
        </is>
      </c>
      <c r="K7" s="34" t="n"/>
      <c r="L7" s="38" t="inlineStr">
        <is>
          <t>Done</t>
        </is>
      </c>
      <c r="M7" s="34" t="n"/>
      <c r="N7" s="1" t="n"/>
      <c r="O7" s="1" t="n"/>
      <c r="P7" s="1" t="n"/>
      <c r="Q7" s="1" t="n"/>
      <c r="R7" s="1" t="n"/>
      <c r="S7" s="1" t="n"/>
      <c r="T7" s="1" t="n"/>
      <c r="U7" s="1" t="n"/>
      <c r="V7" s="1" t="n"/>
      <c r="W7" s="1" t="n"/>
      <c r="X7" s="1" t="n"/>
      <c r="Y7" s="1" t="n"/>
      <c r="Z7" s="1" t="n"/>
      <c r="AA7" s="1" t="n"/>
    </row>
    <row r="8">
      <c r="A8" s="40" t="n">
        <v>4</v>
      </c>
      <c r="B8" s="27" t="inlineStr">
        <is>
          <t>View AGV list</t>
        </is>
      </c>
      <c r="C8" s="29" t="inlineStr">
        <is>
          <t>Screen</t>
        </is>
      </c>
      <c r="D8" s="30" t="inlineStr">
        <is>
          <t>FE-01: AGV Fleet Management</t>
        </is>
      </c>
      <c r="E8" s="31" t="inlineStr">
        <is>
          <t>AGV Profile</t>
        </is>
      </c>
      <c r="F8" s="30" t="inlineStr">
        <is>
          <t>Display a paginated table of all registered AGVs.</t>
        </is>
      </c>
      <c r="G8" s="32" t="inlineStr">
        <is>
          <t>Simple</t>
        </is>
      </c>
      <c r="H8" s="31" t="n">
        <v>3</v>
      </c>
      <c r="I8" s="35" t="inlineStr">
        <is>
          <t>Iteration 1</t>
        </is>
      </c>
      <c r="J8" s="36" t="inlineStr">
        <is>
          <t>HungPV</t>
        </is>
      </c>
      <c r="K8" s="37" t="n"/>
      <c r="L8" s="38" t="inlineStr">
        <is>
          <t>Done</t>
        </is>
      </c>
      <c r="M8" s="37" t="n"/>
      <c r="N8" s="1" t="n"/>
      <c r="O8" s="1" t="n"/>
      <c r="P8" s="1" t="n"/>
      <c r="Q8" s="1" t="n"/>
      <c r="R8" s="1" t="n"/>
      <c r="S8" s="1" t="n"/>
      <c r="T8" s="1" t="n"/>
      <c r="U8" s="1" t="n"/>
      <c r="V8" s="1" t="n"/>
      <c r="W8" s="1" t="n"/>
      <c r="X8" s="1" t="n"/>
      <c r="Y8" s="1" t="n"/>
      <c r="Z8" s="1" t="n"/>
      <c r="AA8" s="1" t="n"/>
    </row>
    <row r="9">
      <c r="A9" s="26" t="n">
        <v>5</v>
      </c>
      <c r="B9" s="27" t="inlineStr">
        <is>
          <t>View AGV details</t>
        </is>
      </c>
      <c r="C9" s="29" t="inlineStr">
        <is>
          <t>Screen</t>
        </is>
      </c>
      <c r="D9" s="30" t="inlineStr">
        <is>
          <t>FE-01: AGV Fleet Management</t>
        </is>
      </c>
      <c r="E9" s="31" t="inlineStr">
        <is>
          <t>AGV Profile</t>
        </is>
      </c>
      <c r="F9" s="30" t="inlineStr">
        <is>
          <t>Show specific properties and current status of an AGV.</t>
        </is>
      </c>
      <c r="G9" s="32" t="inlineStr">
        <is>
          <t>Simple</t>
        </is>
      </c>
      <c r="H9" s="31" t="n">
        <v>3</v>
      </c>
      <c r="I9" s="35" t="inlineStr">
        <is>
          <t>Iteration 1</t>
        </is>
      </c>
      <c r="J9" s="36" t="inlineStr">
        <is>
          <t>HungPV</t>
        </is>
      </c>
      <c r="K9" s="34" t="n"/>
      <c r="L9" s="38" t="inlineStr">
        <is>
          <t>Done</t>
        </is>
      </c>
      <c r="M9" s="34" t="n"/>
      <c r="N9" s="1" t="n"/>
      <c r="O9" s="1" t="n"/>
      <c r="P9" s="1" t="n"/>
      <c r="Q9" s="1" t="n"/>
      <c r="R9" s="1" t="n"/>
      <c r="S9" s="1" t="n"/>
      <c r="T9" s="1" t="n"/>
      <c r="U9" s="1" t="n"/>
      <c r="V9" s="1" t="n"/>
      <c r="W9" s="1" t="n"/>
      <c r="X9" s="1" t="n"/>
      <c r="Y9" s="1" t="n"/>
      <c r="Z9" s="1" t="n"/>
      <c r="AA9" s="1" t="n"/>
    </row>
    <row r="10">
      <c r="A10" s="40" t="n">
        <v>6</v>
      </c>
      <c r="B10" s="27" t="inlineStr">
        <is>
          <t>Configure critical battery threshold</t>
        </is>
      </c>
      <c r="C10" s="29" t="inlineStr">
        <is>
          <t>Screen</t>
        </is>
      </c>
      <c r="D10" s="30" t="inlineStr">
        <is>
          <t>FE-01: AGV Fleet Management</t>
        </is>
      </c>
      <c r="E10" s="31" t="inlineStr">
        <is>
          <t>AGV Configuration</t>
        </is>
      </c>
      <c r="F10" s="30" t="inlineStr">
        <is>
          <t>Set the critical battery percentage at or below which an AGV must go and charge.</t>
        </is>
      </c>
      <c r="G10" s="32" t="inlineStr">
        <is>
          <t>Simple</t>
        </is>
      </c>
      <c r="H10" s="31" t="n">
        <v>3</v>
      </c>
      <c r="I10" s="35" t="inlineStr">
        <is>
          <t>Iteration 1</t>
        </is>
      </c>
      <c r="J10" s="36" t="inlineStr">
        <is>
          <t>HungPV</t>
        </is>
      </c>
      <c r="K10" s="37" t="n"/>
      <c r="L10" s="53" t="inlineStr">
        <is>
          <t>Done</t>
        </is>
      </c>
      <c r="M10" s="37" t="n"/>
      <c r="N10" s="1" t="n"/>
      <c r="O10" s="1" t="n"/>
      <c r="P10" s="1" t="n"/>
      <c r="Q10" s="1" t="n"/>
      <c r="R10" s="1" t="n"/>
      <c r="S10" s="1" t="n"/>
      <c r="T10" s="1" t="n"/>
      <c r="U10" s="1" t="n"/>
      <c r="V10" s="1" t="n"/>
      <c r="W10" s="1" t="n"/>
      <c r="X10" s="1" t="n"/>
      <c r="Y10" s="1" t="n"/>
      <c r="Z10" s="1" t="n"/>
      <c r="AA10" s="1" t="n"/>
    </row>
    <row r="11">
      <c r="A11" s="26" t="n">
        <v>7</v>
      </c>
      <c r="B11" s="27" t="inlineStr">
        <is>
          <t>Configure sufficient battery threshold</t>
        </is>
      </c>
      <c r="C11" s="29" t="inlineStr">
        <is>
          <t>Screen</t>
        </is>
      </c>
      <c r="D11" s="30" t="inlineStr">
        <is>
          <t>FE-01: AGV Fleet Management</t>
        </is>
      </c>
      <c r="E11" s="31" t="inlineStr">
        <is>
          <t>AGV Configuration</t>
        </is>
      </c>
      <c r="F11" s="30" t="inlineStr">
        <is>
          <t>Set the battery percentage at or above which a charging AGV is sufficiently charged to rejoin dispatch.</t>
        </is>
      </c>
      <c r="G11" s="32" t="inlineStr">
        <is>
          <t>Simple</t>
        </is>
      </c>
      <c r="H11" s="31" t="n">
        <v>3</v>
      </c>
      <c r="I11" s="35" t="inlineStr">
        <is>
          <t>Iteration 1</t>
        </is>
      </c>
      <c r="J11" s="36" t="inlineStr">
        <is>
          <t>HungPV</t>
        </is>
      </c>
      <c r="K11" s="34" t="n"/>
      <c r="L11" s="53" t="inlineStr">
        <is>
          <t>Done</t>
        </is>
      </c>
      <c r="M11" s="34" t="n"/>
      <c r="N11" s="1" t="n"/>
      <c r="O11" s="1" t="n"/>
      <c r="P11" s="1" t="n"/>
      <c r="Q11" s="1" t="n"/>
      <c r="R11" s="1" t="n"/>
      <c r="S11" s="1" t="n"/>
      <c r="T11" s="1" t="n"/>
      <c r="U11" s="1" t="n"/>
      <c r="V11" s="1" t="n"/>
      <c r="W11" s="1" t="n"/>
      <c r="X11" s="1" t="n"/>
      <c r="Y11" s="1" t="n"/>
      <c r="Z11" s="1" t="n"/>
      <c r="AA11" s="1" t="n"/>
    </row>
    <row r="12">
      <c r="A12" s="40" t="n">
        <v>8</v>
      </c>
      <c r="B12" s="27" t="inlineStr">
        <is>
          <t>Enable AGV to accept requests</t>
        </is>
      </c>
      <c r="C12" s="29" t="inlineStr">
        <is>
          <t>Screen</t>
        </is>
      </c>
      <c r="D12" s="30" t="inlineStr">
        <is>
          <t>FE-01: AGV Fleet Management</t>
        </is>
      </c>
      <c r="E12" s="31" t="inlineStr">
        <is>
          <t>AGV Status Control</t>
        </is>
      </c>
      <c r="F12" s="30" t="inlineStr">
        <is>
          <t>Manually allow an AGV to receive dispatch commands.</t>
        </is>
      </c>
      <c r="G12" s="32" t="inlineStr">
        <is>
          <t>Simple</t>
        </is>
      </c>
      <c r="H12" s="31" t="n">
        <v>3</v>
      </c>
      <c r="I12" s="35" t="inlineStr">
        <is>
          <t>Iteration 1</t>
        </is>
      </c>
      <c r="J12" s="36" t="inlineStr">
        <is>
          <t>HungPV</t>
        </is>
      </c>
      <c r="K12" s="37" t="n"/>
      <c r="L12" s="38" t="inlineStr">
        <is>
          <t>Done</t>
        </is>
      </c>
      <c r="M12" s="37" t="n"/>
      <c r="N12" s="1" t="n"/>
      <c r="O12" s="1" t="n"/>
      <c r="P12" s="1" t="n"/>
      <c r="Q12" s="1" t="n"/>
      <c r="R12" s="1" t="n"/>
      <c r="S12" s="1" t="n"/>
      <c r="T12" s="1" t="n"/>
      <c r="U12" s="1" t="n"/>
      <c r="V12" s="1" t="n"/>
      <c r="W12" s="1" t="n"/>
      <c r="X12" s="1" t="n"/>
      <c r="Y12" s="1" t="n"/>
      <c r="Z12" s="1" t="n"/>
      <c r="AA12" s="1" t="n"/>
    </row>
    <row r="13">
      <c r="A13" s="26" t="n">
        <v>9</v>
      </c>
      <c r="B13" s="27" t="inlineStr">
        <is>
          <t>Disable AGV from accepting requests</t>
        </is>
      </c>
      <c r="C13" s="29" t="inlineStr">
        <is>
          <t>Screen</t>
        </is>
      </c>
      <c r="D13" s="30" t="inlineStr">
        <is>
          <t>FE-01: AGV Fleet Management</t>
        </is>
      </c>
      <c r="E13" s="31" t="inlineStr">
        <is>
          <t>AGV Status Control</t>
        </is>
      </c>
      <c r="F13" s="30" t="inlineStr">
        <is>
          <t>Manually stop an AGV from receiving new dispatch commands.</t>
        </is>
      </c>
      <c r="G13" s="32" t="inlineStr">
        <is>
          <t>Simple</t>
        </is>
      </c>
      <c r="H13" s="31" t="n">
        <v>3</v>
      </c>
      <c r="I13" s="35" t="inlineStr">
        <is>
          <t>Iteration 1</t>
        </is>
      </c>
      <c r="J13" s="36" t="inlineStr">
        <is>
          <t>HungPV</t>
        </is>
      </c>
      <c r="K13" s="34" t="n"/>
      <c r="L13" s="38" t="inlineStr">
        <is>
          <t>Done</t>
        </is>
      </c>
      <c r="M13" s="34" t="n"/>
      <c r="N13" s="1" t="n"/>
      <c r="O13" s="1" t="n"/>
      <c r="P13" s="1" t="n"/>
      <c r="Q13" s="1" t="n"/>
      <c r="R13" s="1" t="n"/>
      <c r="S13" s="1" t="n"/>
      <c r="T13" s="1" t="n"/>
      <c r="U13" s="1" t="n"/>
      <c r="V13" s="1" t="n"/>
      <c r="W13" s="1" t="n"/>
      <c r="X13" s="1" t="n"/>
      <c r="Y13" s="1" t="n"/>
      <c r="Z13" s="1" t="n"/>
      <c r="AA13" s="1" t="n"/>
    </row>
    <row r="14">
      <c r="A14" s="40" t="n">
        <v>10</v>
      </c>
      <c r="B14" s="27" t="inlineStr">
        <is>
          <t>Ignore AGV from the system</t>
        </is>
      </c>
      <c r="C14" s="29" t="inlineStr">
        <is>
          <t>Screen</t>
        </is>
      </c>
      <c r="D14" s="30" t="inlineStr">
        <is>
          <t>FE-01: AGV Fleet Management</t>
        </is>
      </c>
      <c r="E14" s="31" t="inlineStr">
        <is>
          <t>AGV Status Control</t>
        </is>
      </c>
      <c r="F14" s="30" t="inlineStr">
        <is>
          <t>Exclude an AGV from orchestration without deleting it.</t>
        </is>
      </c>
      <c r="G14" s="32" t="inlineStr">
        <is>
          <t>Simple</t>
        </is>
      </c>
      <c r="H14" s="31" t="n">
        <v>3</v>
      </c>
      <c r="I14" s="35" t="inlineStr">
        <is>
          <t>Iteration 1</t>
        </is>
      </c>
      <c r="J14" s="36" t="inlineStr">
        <is>
          <t>HungPV</t>
        </is>
      </c>
      <c r="K14" s="37" t="n"/>
      <c r="L14" s="38" t="inlineStr">
        <is>
          <t>Done</t>
        </is>
      </c>
      <c r="M14" s="37" t="n"/>
      <c r="N14" s="1" t="n"/>
      <c r="O14" s="1" t="n"/>
      <c r="P14" s="1" t="n"/>
      <c r="Q14" s="1" t="n"/>
      <c r="R14" s="1" t="n"/>
      <c r="S14" s="1" t="n"/>
      <c r="T14" s="1" t="n"/>
      <c r="U14" s="1" t="n"/>
      <c r="V14" s="1" t="n"/>
      <c r="W14" s="1" t="n"/>
      <c r="X14" s="1" t="n"/>
      <c r="Y14" s="1" t="n"/>
      <c r="Z14" s="1" t="n"/>
      <c r="AA14" s="1" t="n"/>
    </row>
    <row r="15">
      <c r="A15" s="26" t="n">
        <v>11</v>
      </c>
      <c r="B15" s="27" t="inlineStr">
        <is>
          <t>Restore ignored AGV</t>
        </is>
      </c>
      <c r="C15" s="29" t="inlineStr">
        <is>
          <t>Screen</t>
        </is>
      </c>
      <c r="D15" s="30" t="inlineStr">
        <is>
          <t>FE-01: AGV Fleet Management</t>
        </is>
      </c>
      <c r="E15" s="31" t="inlineStr">
        <is>
          <t>AGV Status Control</t>
        </is>
      </c>
      <c r="F15" s="30" t="inlineStr">
        <is>
          <t>Re-include an ignored AGV back into orchestration.</t>
        </is>
      </c>
      <c r="G15" s="32" t="inlineStr">
        <is>
          <t>Simple</t>
        </is>
      </c>
      <c r="H15" s="31" t="n">
        <v>3</v>
      </c>
      <c r="I15" s="35" t="inlineStr">
        <is>
          <t>Iteration 1</t>
        </is>
      </c>
      <c r="J15" s="36" t="inlineStr">
        <is>
          <t>HungPV</t>
        </is>
      </c>
      <c r="K15" s="34" t="n"/>
      <c r="L15" s="38" t="inlineStr">
        <is>
          <t>Done</t>
        </is>
      </c>
      <c r="M15" s="34" t="n"/>
      <c r="N15" s="1" t="n"/>
      <c r="O15" s="1" t="n"/>
      <c r="P15" s="1" t="n"/>
      <c r="Q15" s="1" t="n"/>
      <c r="R15" s="1" t="n"/>
      <c r="S15" s="1" t="n"/>
      <c r="T15" s="1" t="n"/>
      <c r="U15" s="1" t="n"/>
      <c r="V15" s="1" t="n"/>
      <c r="W15" s="1" t="n"/>
      <c r="X15" s="1" t="n"/>
      <c r="Y15" s="1" t="n"/>
      <c r="Z15" s="1" t="n"/>
      <c r="AA15" s="1" t="n"/>
    </row>
    <row r="16">
      <c r="A16" s="40" t="n">
        <v>12</v>
      </c>
      <c r="B16" s="27" t="inlineStr">
        <is>
          <t>Activate / Deactivate AGV</t>
        </is>
      </c>
      <c r="C16" s="29" t="inlineStr">
        <is>
          <t>Screen</t>
        </is>
      </c>
      <c r="D16" s="30" t="inlineStr">
        <is>
          <t>FE-01: AGV Fleet Management</t>
        </is>
      </c>
      <c r="E16" s="31" t="inlineStr">
        <is>
          <t>AGV Status Control</t>
        </is>
      </c>
      <c r="F16" s="30" t="inlineStr">
        <is>
          <t>Enable or disable an AGV's link to the fleet kernel so that only vehicles physically present and ready are tracked and controlled.</t>
        </is>
      </c>
      <c r="G16" s="58" t="inlineStr">
        <is>
          <t>Medium</t>
        </is>
      </c>
      <c r="H16" s="31" t="n">
        <v>5</v>
      </c>
      <c r="I16" s="35" t="inlineStr">
        <is>
          <t>Iteration 1</t>
        </is>
      </c>
      <c r="J16" s="36" t="inlineStr">
        <is>
          <t>HungPV</t>
        </is>
      </c>
      <c r="K16" s="37" t="n"/>
      <c r="L16" s="38" t="inlineStr">
        <is>
          <t>Done</t>
        </is>
      </c>
      <c r="M16" s="36" t="n"/>
      <c r="N16" s="1" t="n"/>
      <c r="O16" s="1" t="n"/>
      <c r="P16" s="1" t="n"/>
      <c r="Q16" s="1" t="n"/>
      <c r="R16" s="1" t="n"/>
      <c r="S16" s="1" t="n"/>
      <c r="T16" s="1" t="n"/>
      <c r="U16" s="1" t="n"/>
      <c r="V16" s="1" t="n"/>
      <c r="W16" s="1" t="n"/>
      <c r="X16" s="1" t="n"/>
      <c r="Y16" s="1" t="n"/>
      <c r="Z16" s="1" t="n"/>
      <c r="AA16" s="1" t="n"/>
    </row>
    <row r="17">
      <c r="A17" s="40" t="n">
        <v>13</v>
      </c>
      <c r="B17" s="27" t="inlineStr">
        <is>
          <t>Filter AGVs by status</t>
        </is>
      </c>
      <c r="C17" s="29" t="inlineStr">
        <is>
          <t>Screen</t>
        </is>
      </c>
      <c r="D17" s="30" t="inlineStr">
        <is>
          <t>FE-01: AGV Fleet Management</t>
        </is>
      </c>
      <c r="E17" s="31" t="inlineStr">
        <is>
          <t>AGV Search &amp; Filter</t>
        </is>
      </c>
      <c r="F17" s="30" t="inlineStr">
        <is>
          <t>Filter the AGV list by online, offline, charging, error, etc.</t>
        </is>
      </c>
      <c r="G17" s="32" t="inlineStr">
        <is>
          <t>Simple</t>
        </is>
      </c>
      <c r="H17" s="31" t="n">
        <v>3</v>
      </c>
      <c r="I17" s="35" t="inlineStr">
        <is>
          <t>Iteration 1</t>
        </is>
      </c>
      <c r="J17" s="36" t="inlineStr">
        <is>
          <t>HungPV</t>
        </is>
      </c>
      <c r="K17" s="37" t="n"/>
      <c r="L17" s="38" t="inlineStr">
        <is>
          <t>Done</t>
        </is>
      </c>
      <c r="M17" s="62" t="n"/>
      <c r="N17" s="1" t="n"/>
      <c r="O17" s="1" t="n"/>
      <c r="P17" s="1" t="n"/>
      <c r="Q17" s="1" t="n"/>
      <c r="R17" s="1" t="n"/>
      <c r="S17" s="1" t="n"/>
      <c r="T17" s="1" t="n"/>
      <c r="U17" s="1" t="n"/>
      <c r="V17" s="1" t="n"/>
      <c r="W17" s="1" t="n"/>
      <c r="X17" s="1" t="n"/>
      <c r="Y17" s="1" t="n"/>
      <c r="Z17" s="1" t="n"/>
      <c r="AA17" s="1" t="n"/>
    </row>
    <row r="18">
      <c r="A18" s="26" t="n">
        <v>14</v>
      </c>
      <c r="B18" s="27" t="inlineStr">
        <is>
          <t>View AGV operation history</t>
        </is>
      </c>
      <c r="C18" s="29" t="inlineStr">
        <is>
          <t>Screen</t>
        </is>
      </c>
      <c r="D18" s="30" t="inlineStr">
        <is>
          <t>FE-01: AGV Fleet Management</t>
        </is>
      </c>
      <c r="E18" s="31" t="inlineStr">
        <is>
          <t>AGV History</t>
        </is>
      </c>
      <c r="F18" s="30" t="inlineStr">
        <is>
          <t>Display the timeline of tasks and movements for an AGV.</t>
        </is>
      </c>
      <c r="G18" s="32" t="inlineStr">
        <is>
          <t>Simple</t>
        </is>
      </c>
      <c r="H18" s="31" t="n">
        <v>5</v>
      </c>
      <c r="I18" s="35" t="inlineStr">
        <is>
          <t>Iteration 1</t>
        </is>
      </c>
      <c r="J18" s="36" t="inlineStr">
        <is>
          <t>HungPV</t>
        </is>
      </c>
      <c r="K18" s="34" t="n"/>
      <c r="L18" s="38" t="inlineStr">
        <is>
          <t>Done</t>
        </is>
      </c>
      <c r="M18" s="34" t="n"/>
      <c r="N18" s="1" t="n"/>
      <c r="O18" s="1" t="n"/>
      <c r="P18" s="1" t="n"/>
      <c r="Q18" s="1" t="n"/>
      <c r="R18" s="1" t="n"/>
      <c r="S18" s="1" t="n"/>
      <c r="T18" s="1" t="n"/>
      <c r="U18" s="1" t="n"/>
      <c r="V18" s="1" t="n"/>
      <c r="W18" s="1" t="n"/>
      <c r="X18" s="1" t="n"/>
      <c r="Y18" s="1" t="n"/>
      <c r="Z18" s="1" t="n"/>
      <c r="AA18" s="1" t="n"/>
    </row>
    <row r="19">
      <c r="A19" s="40" t="n">
        <v>15</v>
      </c>
      <c r="B19" s="27" t="inlineStr">
        <is>
          <t>View AGV error history</t>
        </is>
      </c>
      <c r="C19" s="29" t="inlineStr">
        <is>
          <t>Screen</t>
        </is>
      </c>
      <c r="D19" s="30" t="inlineStr">
        <is>
          <t>FE-01: AGV Fleet Management</t>
        </is>
      </c>
      <c r="E19" s="31" t="inlineStr">
        <is>
          <t>AGV History</t>
        </is>
      </c>
      <c r="F19" s="30" t="inlineStr">
        <is>
          <t>Display the log of physical or software errors (e.g., E_STOP).</t>
        </is>
      </c>
      <c r="G19" s="58" t="inlineStr">
        <is>
          <t>Medium</t>
        </is>
      </c>
      <c r="H19" s="31" t="n">
        <v>5</v>
      </c>
      <c r="I19" s="35" t="inlineStr">
        <is>
          <t>Iteration 1</t>
        </is>
      </c>
      <c r="J19" s="36" t="inlineStr">
        <is>
          <t>HungPV</t>
        </is>
      </c>
      <c r="K19" s="37" t="n"/>
      <c r="L19" s="38" t="inlineStr">
        <is>
          <t>Done</t>
        </is>
      </c>
      <c r="M19" s="62" t="n"/>
      <c r="N19" s="1" t="n"/>
      <c r="O19" s="1" t="n"/>
      <c r="P19" s="1" t="n"/>
      <c r="Q19" s="1" t="n"/>
      <c r="R19" s="1" t="n"/>
      <c r="S19" s="1" t="n"/>
      <c r="T19" s="1" t="n"/>
      <c r="U19" s="1" t="n"/>
      <c r="V19" s="1" t="n"/>
      <c r="W19" s="1" t="n"/>
      <c r="X19" s="1" t="n"/>
      <c r="Y19" s="1" t="n"/>
      <c r="Z19" s="1" t="n"/>
      <c r="AA19" s="1" t="n"/>
    </row>
    <row r="20">
      <c r="A20" s="26" t="n">
        <v>16</v>
      </c>
      <c r="B20" s="27" t="inlineStr">
        <is>
          <t>Handle AGV disconnection mid-task</t>
        </is>
      </c>
      <c r="C20" s="59" t="inlineStr">
        <is>
          <t>Non-UI</t>
        </is>
      </c>
      <c r="D20" s="30" t="inlineStr">
        <is>
          <t>FE-01: AGV Fleet Management</t>
        </is>
      </c>
      <c r="E20" s="31" t="inlineStr">
        <is>
          <t>Fault Handling</t>
        </is>
      </c>
      <c r="F20" s="30" t="inlineStr">
        <is>
          <t>Detect an AGV that stops communicating mid-task, exclude it from new assignments, and keep its position reserved so routing plans around it.</t>
        </is>
      </c>
      <c r="G20" s="60" t="inlineStr">
        <is>
          <t>Complex</t>
        </is>
      </c>
      <c r="H20" s="31" t="n">
        <v>8</v>
      </c>
      <c r="I20" s="35" t="inlineStr">
        <is>
          <t>Iteration 1</t>
        </is>
      </c>
      <c r="J20" s="36" t="inlineStr">
        <is>
          <t>HungPV</t>
        </is>
      </c>
      <c r="K20" s="34" t="n"/>
      <c r="L20" s="61" t="inlineStr">
        <is>
          <t>Done</t>
        </is>
      </c>
      <c r="M20" s="34" t="n"/>
      <c r="N20" s="1" t="n"/>
      <c r="O20" s="1" t="n"/>
      <c r="P20" s="1" t="n"/>
      <c r="Q20" s="1" t="n"/>
      <c r="R20" s="1" t="n"/>
      <c r="S20" s="1" t="n"/>
      <c r="T20" s="1" t="n"/>
      <c r="U20" s="1" t="n"/>
      <c r="V20" s="1" t="n"/>
      <c r="W20" s="1" t="n"/>
      <c r="X20" s="1" t="n"/>
      <c r="Y20" s="1" t="n"/>
      <c r="Z20" s="1" t="n"/>
      <c r="AA20" s="1" t="n"/>
    </row>
    <row r="21">
      <c r="A21" s="26" t="n">
        <v>17</v>
      </c>
      <c r="B21" s="27" t="inlineStr">
        <is>
          <t>Charge Engine (forced charging)</t>
        </is>
      </c>
      <c r="C21" s="59" t="inlineStr">
        <is>
          <t>Non-UI</t>
        </is>
      </c>
      <c r="D21" s="30" t="inlineStr">
        <is>
          <t>FE-01: AGV Fleet Management</t>
        </is>
      </c>
      <c r="E21" s="31" t="inlineStr">
        <is>
          <t>Battery Management</t>
        </is>
      </c>
      <c r="F21" s="30" t="inlineStr">
        <is>
          <t>Forced-charge orchestration: send AGVs at or below the critical threshold to charge, release at the sufficient threshold when there is demand (BR-03/BR-13/BR-14).</t>
        </is>
      </c>
      <c r="G21" s="63" t="inlineStr">
        <is>
          <t>Complex</t>
        </is>
      </c>
      <c r="H21" s="76" t="n">
        <v>8</v>
      </c>
      <c r="I21" s="72" t="inlineStr">
        <is>
          <t>Iteration 3</t>
        </is>
      </c>
      <c r="J21" s="74" t="inlineStr">
        <is>
          <t>HungPV</t>
        </is>
      </c>
      <c r="K21" s="74" t="n"/>
      <c r="L21" s="67" t="inlineStr">
        <is>
          <t>Done</t>
        </is>
      </c>
      <c r="M21" s="74" t="n"/>
      <c r="N21" s="1" t="n"/>
      <c r="O21" s="1" t="n"/>
      <c r="P21" s="1" t="n"/>
      <c r="Q21" s="1" t="n"/>
      <c r="R21" s="1" t="n"/>
      <c r="S21" s="1" t="n"/>
      <c r="T21" s="1" t="n"/>
      <c r="U21" s="1" t="n"/>
      <c r="V21" s="1" t="n"/>
      <c r="W21" s="1" t="n"/>
      <c r="X21" s="1" t="n"/>
      <c r="Y21" s="1" t="n"/>
      <c r="Z21" s="1" t="n"/>
      <c r="AA21" s="1" t="n"/>
    </row>
    <row r="22" ht="14.25" customHeight="1" s="118">
      <c r="A22" s="26" t="n">
        <v>18</v>
      </c>
      <c r="B22" s="27" t="inlineStr">
        <is>
          <t>AGV Telemetry Sync</t>
        </is>
      </c>
      <c r="C22" s="59" t="inlineStr">
        <is>
          <t>Non-UI</t>
        </is>
      </c>
      <c r="D22" s="30" t="inlineStr">
        <is>
          <t>FE-01: AGV Fleet Management</t>
        </is>
      </c>
      <c r="E22" s="31" t="inlineStr">
        <is>
          <t>AGV Status Control</t>
        </is>
      </c>
      <c r="F22" s="30" t="inlineStr">
        <is>
          <t>Polls kernel every 2s into agv_live_status (position/battery/state).</t>
        </is>
      </c>
      <c r="G22" s="63" t="inlineStr">
        <is>
          <t>Medium</t>
        </is>
      </c>
      <c r="H22" s="76" t="n">
        <v>5</v>
      </c>
      <c r="I22" s="72" t="inlineStr">
        <is>
          <t>Iteration 1</t>
        </is>
      </c>
      <c r="J22" s="74" t="inlineStr">
        <is>
          <t>HungPV</t>
        </is>
      </c>
      <c r="K22" s="74" t="n"/>
      <c r="L22" s="67" t="inlineStr">
        <is>
          <t>Done</t>
        </is>
      </c>
      <c r="M22" s="74" t="n"/>
      <c r="N22" s="1" t="n"/>
      <c r="O22" s="1" t="n"/>
      <c r="P22" s="1" t="n"/>
      <c r="Q22" s="1" t="n"/>
      <c r="R22" s="1" t="n"/>
      <c r="S22" s="1" t="n"/>
      <c r="T22" s="1" t="n"/>
      <c r="U22" s="1" t="n"/>
      <c r="V22" s="1" t="n"/>
      <c r="W22" s="1" t="n"/>
      <c r="X22" s="1" t="n"/>
      <c r="Y22" s="1" t="n"/>
      <c r="Z22" s="1" t="n"/>
      <c r="AA22" s="1" t="n"/>
    </row>
    <row r="23" ht="14.25" customHeight="1" s="118">
      <c r="A23" s="26" t="n">
        <v>19</v>
      </c>
      <c r="B23" s="27" t="inlineStr">
        <is>
          <t>FMS Kernel Health Check</t>
        </is>
      </c>
      <c r="C23" s="59" t="inlineStr">
        <is>
          <t>Non-UI</t>
        </is>
      </c>
      <c r="D23" s="30" t="inlineStr">
        <is>
          <t>FE-01: AGV Fleet Management</t>
        </is>
      </c>
      <c r="E23" s="31" t="inlineStr">
        <is>
          <t>AGV Status Control</t>
        </is>
      </c>
      <c r="F23" s="30" t="inlineStr">
        <is>
          <t>On bootstrap polls kernel readiness (30 attempts at 2-second intervals, 60 s total) before WES accepts requests, and once the kernel reports OPERATING, initialises the vehicles for operation so only vehicles actually present are tracked and dispatchable.</t>
        </is>
      </c>
      <c r="G23" s="63" t="inlineStr">
        <is>
          <t>Simple</t>
        </is>
      </c>
      <c r="H23" s="76" t="n">
        <v>3</v>
      </c>
      <c r="I23" s="72" t="inlineStr">
        <is>
          <t>Iteration 1</t>
        </is>
      </c>
      <c r="J23" s="74" t="inlineStr">
        <is>
          <t>HungPV</t>
        </is>
      </c>
      <c r="K23" s="74" t="n"/>
      <c r="L23" s="67" t="inlineStr">
        <is>
          <t>Done</t>
        </is>
      </c>
      <c r="M23" s="74" t="n"/>
      <c r="N23" s="1" t="n"/>
      <c r="O23" s="1" t="n"/>
      <c r="P23" s="1" t="n"/>
      <c r="Q23" s="1" t="n"/>
      <c r="R23" s="1" t="n"/>
      <c r="S23" s="1" t="n"/>
      <c r="T23" s="1" t="n"/>
      <c r="U23" s="1" t="n"/>
      <c r="V23" s="1" t="n"/>
      <c r="W23" s="1" t="n"/>
      <c r="X23" s="1" t="n"/>
      <c r="Y23" s="1" t="n"/>
      <c r="Z23" s="1" t="n"/>
      <c r="AA23" s="1" t="n"/>
    </row>
    <row r="24" ht="14.25" customHeight="1" s="118">
      <c r="A24" s="26" t="n">
        <v>20</v>
      </c>
      <c r="B24" s="27" t="inlineStr">
        <is>
          <t>Parking Engine (idle parking)</t>
        </is>
      </c>
      <c r="C24" s="59" t="inlineStr">
        <is>
          <t>Non-UI</t>
        </is>
      </c>
      <c r="D24" s="30" t="inlineStr">
        <is>
          <t>FE-01: AGV Fleet Management</t>
        </is>
      </c>
      <c r="E24" s="31" t="inlineStr">
        <is>
          <t>Idle Management</t>
        </is>
      </c>
      <c r="F24" s="30" t="inlineStr">
        <is>
          <t>Idle parking orchestration: when no transport task is waiting for a vehicle, sends every idle AGV that is not already on a parking position to the nearest free non-charge parking position (BR-15). Park claims are ledgered and rebuilt from the kernel on bootstrap; park orders are dispensable so the kernel releases them itself when the vehicle is needed.</t>
        </is>
      </c>
      <c r="G24" s="63" t="inlineStr">
        <is>
          <t>Complex</t>
        </is>
      </c>
      <c r="H24" s="76" t="n">
        <v>8</v>
      </c>
      <c r="I24" s="72" t="inlineStr">
        <is>
          <t>Iteration 3</t>
        </is>
      </c>
      <c r="J24" s="74" t="inlineStr">
        <is>
          <t>HungPV</t>
        </is>
      </c>
      <c r="K24" s="74" t="n"/>
      <c r="L24" s="67" t="inlineStr">
        <is>
          <t>Done</t>
        </is>
      </c>
      <c r="M24" s="74" t="n"/>
      <c r="N24" s="1" t="n"/>
      <c r="O24" s="1" t="n"/>
      <c r="P24" s="1" t="n"/>
      <c r="Q24" s="1" t="n"/>
      <c r="R24" s="1" t="n"/>
      <c r="S24" s="1" t="n"/>
      <c r="T24" s="1" t="n"/>
      <c r="U24" s="1" t="n"/>
      <c r="V24" s="1" t="n"/>
      <c r="W24" s="1" t="n"/>
      <c r="X24" s="1" t="n"/>
      <c r="Y24" s="1" t="n"/>
      <c r="Z24" s="1" t="n"/>
      <c r="AA24" s="1" t="n"/>
    </row>
    <row r="25" ht="15.75" customHeight="1" s="118">
      <c r="A25" s="26" t="n">
        <v>21</v>
      </c>
      <c r="B25" s="27" t="inlineStr">
        <is>
          <t>Upload new operation map</t>
        </is>
      </c>
      <c r="C25" s="29" t="inlineStr">
        <is>
          <t>Screen</t>
        </is>
      </c>
      <c r="D25" s="30" t="inlineStr">
        <is>
          <t>FE-02: Warehouse Map &amp; Topology</t>
        </is>
      </c>
      <c r="E25" s="31" t="inlineStr">
        <is>
          <t>Map Management</t>
        </is>
      </c>
      <c r="F25" s="30" t="inlineStr">
        <is>
          <t>Upload a new base map file (layout/grids).</t>
        </is>
      </c>
      <c r="G25" s="60" t="inlineStr">
        <is>
          <t>Complex</t>
        </is>
      </c>
      <c r="H25" s="31" t="n">
        <v>8</v>
      </c>
      <c r="I25" s="35" t="inlineStr">
        <is>
          <t>Iteration 1</t>
        </is>
      </c>
      <c r="J25" s="36" t="inlineStr">
        <is>
          <t>HungPV</t>
        </is>
      </c>
      <c r="K25" s="34" t="n"/>
      <c r="L25" s="38" t="inlineStr">
        <is>
          <t>Done</t>
        </is>
      </c>
      <c r="M25" s="34" t="n"/>
      <c r="N25" s="1" t="n"/>
      <c r="O25" s="1" t="n"/>
      <c r="P25" s="1" t="n"/>
      <c r="Q25" s="1" t="n"/>
      <c r="R25" s="1" t="n"/>
      <c r="S25" s="1" t="n"/>
      <c r="T25" s="1" t="n"/>
      <c r="U25" s="1" t="n"/>
      <c r="V25" s="1" t="n"/>
      <c r="W25" s="1" t="n"/>
      <c r="X25" s="1" t="n"/>
      <c r="Y25" s="1" t="n"/>
      <c r="Z25" s="1" t="n"/>
      <c r="AA25" s="1" t="n"/>
    </row>
    <row r="26" ht="15.75" customHeight="1" s="118">
      <c r="A26" s="26" t="n">
        <v>22</v>
      </c>
      <c r="B26" s="27" t="inlineStr">
        <is>
          <t>Create operational location</t>
        </is>
      </c>
      <c r="C26" s="29" t="inlineStr">
        <is>
          <t>Screen</t>
        </is>
      </c>
      <c r="D26" s="30" t="inlineStr">
        <is>
          <t>FE-02: Warehouse Map &amp; Topology</t>
        </is>
      </c>
      <c r="E26" s="31" t="inlineStr">
        <is>
          <t>Location Management</t>
        </is>
      </c>
      <c r="F26" s="30" t="inlineStr">
        <is>
          <t>Group points to define a pickup/drop-off/charge area.</t>
        </is>
      </c>
      <c r="G26" s="63" t="inlineStr">
        <is>
          <t>Medium</t>
        </is>
      </c>
      <c r="H26" s="76" t="n">
        <v>5</v>
      </c>
      <c r="I26" s="65" t="inlineStr">
        <is>
          <t>Iteration 1</t>
        </is>
      </c>
      <c r="J26" s="36" t="inlineStr">
        <is>
          <t>HungPV</t>
        </is>
      </c>
      <c r="K26" s="74" t="n"/>
      <c r="L26" s="67" t="inlineStr">
        <is>
          <t>Done</t>
        </is>
      </c>
      <c r="M26" s="74" t="n"/>
      <c r="N26" s="1" t="n"/>
      <c r="O26" s="1" t="n"/>
      <c r="P26" s="1" t="n"/>
      <c r="Q26" s="1" t="n"/>
      <c r="R26" s="1" t="n"/>
      <c r="S26" s="1" t="n"/>
      <c r="T26" s="1" t="n"/>
      <c r="U26" s="1" t="n"/>
      <c r="V26" s="1" t="n"/>
      <c r="W26" s="1" t="n"/>
      <c r="X26" s="1" t="n"/>
      <c r="Y26" s="1" t="n"/>
      <c r="Z26" s="1" t="n"/>
      <c r="AA26" s="1" t="n"/>
    </row>
    <row r="27" ht="15.75" customHeight="1" s="118">
      <c r="A27" s="40" t="n">
        <v>23</v>
      </c>
      <c r="B27" s="27" t="inlineStr">
        <is>
          <t>Update operational location</t>
        </is>
      </c>
      <c r="C27" s="29" t="inlineStr">
        <is>
          <t>Screen</t>
        </is>
      </c>
      <c r="D27" s="30" t="inlineStr">
        <is>
          <t>FE-02: Warehouse Map &amp; Topology</t>
        </is>
      </c>
      <c r="E27" s="31" t="inlineStr">
        <is>
          <t>Location Management</t>
        </is>
      </c>
      <c r="F27" s="30" t="inlineStr">
        <is>
          <t>Modify operational area properties and assigned logic.</t>
        </is>
      </c>
      <c r="G27" s="63" t="inlineStr">
        <is>
          <t>Medium</t>
        </is>
      </c>
      <c r="H27" s="76" t="n">
        <v>5</v>
      </c>
      <c r="I27" s="65" t="inlineStr">
        <is>
          <t>Iteration 1</t>
        </is>
      </c>
      <c r="J27" s="36" t="inlineStr">
        <is>
          <t>HungPV</t>
        </is>
      </c>
      <c r="K27" s="74" t="n"/>
      <c r="L27" s="67" t="inlineStr">
        <is>
          <t>Done</t>
        </is>
      </c>
      <c r="M27" s="74" t="n"/>
      <c r="N27" s="1" t="n"/>
      <c r="O27" s="1" t="n"/>
      <c r="P27" s="1" t="n"/>
      <c r="Q27" s="1" t="n"/>
      <c r="R27" s="1" t="n"/>
      <c r="S27" s="1" t="n"/>
      <c r="T27" s="1" t="n"/>
      <c r="U27" s="1" t="n"/>
      <c r="V27" s="1" t="n"/>
      <c r="W27" s="1" t="n"/>
      <c r="X27" s="1" t="n"/>
      <c r="Y27" s="1" t="n"/>
      <c r="Z27" s="1" t="n"/>
      <c r="AA27" s="1" t="n"/>
    </row>
    <row r="28" ht="15.75" customHeight="1" s="118">
      <c r="A28" s="26" t="n">
        <v>24</v>
      </c>
      <c r="B28" s="27" t="inlineStr">
        <is>
          <t>Delete operational location</t>
        </is>
      </c>
      <c r="C28" s="29" t="inlineStr">
        <is>
          <t>Screen</t>
        </is>
      </c>
      <c r="D28" s="30" t="inlineStr">
        <is>
          <t>FE-02: Warehouse Map &amp; Topology</t>
        </is>
      </c>
      <c r="E28" s="31" t="inlineStr">
        <is>
          <t>Location Management</t>
        </is>
      </c>
      <c r="F28" s="30" t="inlineStr">
        <is>
          <t>Remove an operational location grouping.</t>
        </is>
      </c>
      <c r="G28" s="68" t="inlineStr">
        <is>
          <t>Simple</t>
        </is>
      </c>
      <c r="H28" s="76" t="n">
        <v>3</v>
      </c>
      <c r="I28" s="65" t="inlineStr">
        <is>
          <t>Iteration 1</t>
        </is>
      </c>
      <c r="J28" s="36" t="inlineStr">
        <is>
          <t>HungPV</t>
        </is>
      </c>
      <c r="K28" s="74" t="n"/>
      <c r="L28" s="67" t="inlineStr">
        <is>
          <t>Done</t>
        </is>
      </c>
      <c r="M28" s="74" t="n"/>
      <c r="N28" s="1" t="n"/>
      <c r="O28" s="1" t="n"/>
      <c r="P28" s="1" t="n"/>
      <c r="Q28" s="1" t="n"/>
      <c r="R28" s="1" t="n"/>
      <c r="S28" s="1" t="n"/>
      <c r="T28" s="1" t="n"/>
      <c r="U28" s="1" t="n"/>
      <c r="V28" s="1" t="n"/>
      <c r="W28" s="1" t="n"/>
      <c r="X28" s="1" t="n"/>
      <c r="Y28" s="1" t="n"/>
      <c r="Z28" s="1" t="n"/>
      <c r="AA28" s="1" t="n"/>
    </row>
    <row r="29" ht="15.75" customHeight="1" s="118">
      <c r="A29" s="40" t="n">
        <v>25</v>
      </c>
      <c r="B29" s="27" t="inlineStr">
        <is>
          <t>View operational location list</t>
        </is>
      </c>
      <c r="C29" s="29" t="inlineStr">
        <is>
          <t>Screen</t>
        </is>
      </c>
      <c r="D29" s="30" t="inlineStr">
        <is>
          <t>FE-02: Warehouse Map &amp; Topology</t>
        </is>
      </c>
      <c r="E29" s="31" t="inlineStr">
        <is>
          <t>Location Management</t>
        </is>
      </c>
      <c r="F29" s="30" t="inlineStr">
        <is>
          <t>Display all defined operational areas.</t>
        </is>
      </c>
      <c r="G29" s="68" t="inlineStr">
        <is>
          <t>Simple</t>
        </is>
      </c>
      <c r="H29" s="76" t="n">
        <v>3</v>
      </c>
      <c r="I29" s="65" t="inlineStr">
        <is>
          <t>Iteration 1</t>
        </is>
      </c>
      <c r="J29" s="36" t="inlineStr">
        <is>
          <t>HungPV</t>
        </is>
      </c>
      <c r="K29" s="74" t="n"/>
      <c r="L29" s="67" t="inlineStr">
        <is>
          <t>Done</t>
        </is>
      </c>
      <c r="M29" s="74" t="n"/>
      <c r="N29" s="1" t="n"/>
      <c r="O29" s="1" t="n"/>
      <c r="P29" s="1" t="n"/>
      <c r="Q29" s="1" t="n"/>
      <c r="R29" s="1" t="n"/>
      <c r="S29" s="1" t="n"/>
      <c r="T29" s="1" t="n"/>
      <c r="U29" s="1" t="n"/>
      <c r="V29" s="1" t="n"/>
      <c r="W29" s="1" t="n"/>
      <c r="X29" s="1" t="n"/>
      <c r="Y29" s="1" t="n"/>
      <c r="Z29" s="1" t="n"/>
      <c r="AA29" s="1" t="n"/>
    </row>
    <row r="30" ht="15.75" customHeight="1" s="118">
      <c r="A30" s="26" t="n">
        <v>26</v>
      </c>
      <c r="B30" s="27" t="inlineStr">
        <is>
          <t>View operational location details</t>
        </is>
      </c>
      <c r="C30" s="29" t="inlineStr">
        <is>
          <t>Screen</t>
        </is>
      </c>
      <c r="D30" s="30" t="inlineStr">
        <is>
          <t>FE-02: Warehouse Map &amp; Topology</t>
        </is>
      </c>
      <c r="E30" s="31" t="inlineStr">
        <is>
          <t>Location Management</t>
        </is>
      </c>
      <c r="F30" s="30" t="inlineStr">
        <is>
          <t>Show the points and rules associated with a location.</t>
        </is>
      </c>
      <c r="G30" s="68" t="inlineStr">
        <is>
          <t>Simple</t>
        </is>
      </c>
      <c r="H30" s="76" t="n">
        <v>3</v>
      </c>
      <c r="I30" s="65" t="inlineStr">
        <is>
          <t>Iteration 1</t>
        </is>
      </c>
      <c r="J30" s="36" t="inlineStr">
        <is>
          <t>HungPV</t>
        </is>
      </c>
      <c r="K30" s="74" t="n"/>
      <c r="L30" s="67" t="inlineStr">
        <is>
          <t>Done</t>
        </is>
      </c>
      <c r="M30" s="74" t="n"/>
      <c r="N30" s="1" t="n"/>
      <c r="O30" s="1" t="n"/>
      <c r="P30" s="1" t="n"/>
      <c r="Q30" s="1" t="n"/>
      <c r="R30" s="1" t="n"/>
      <c r="S30" s="1" t="n"/>
      <c r="T30" s="1" t="n"/>
      <c r="U30" s="1" t="n"/>
      <c r="V30" s="1" t="n"/>
      <c r="W30" s="1" t="n"/>
      <c r="X30" s="1" t="n"/>
      <c r="Y30" s="1" t="n"/>
      <c r="Z30" s="1" t="n"/>
      <c r="AA30" s="1" t="n"/>
    </row>
    <row r="31" ht="15.75" customHeight="1" s="118">
      <c r="A31" s="26" t="n">
        <v>27</v>
      </c>
      <c r="B31" s="27" t="inlineStr">
        <is>
          <t>Manage availability status of station/location</t>
        </is>
      </c>
      <c r="C31" s="29" t="inlineStr">
        <is>
          <t>Screen</t>
        </is>
      </c>
      <c r="D31" s="30" t="inlineStr">
        <is>
          <t>FE-02: Warehouse Map &amp; Topology</t>
        </is>
      </c>
      <c r="E31" s="31" t="inlineStr">
        <is>
          <t>Resource Allocation</t>
        </is>
      </c>
      <c r="F31" s="30" t="inlineStr">
        <is>
          <t>Toggle whether a station/location can accept new tasks.</t>
        </is>
      </c>
      <c r="G31" s="63" t="inlineStr">
        <is>
          <t>Medium</t>
        </is>
      </c>
      <c r="H31" s="76" t="n">
        <v>5</v>
      </c>
      <c r="I31" s="69" t="inlineStr">
        <is>
          <t>Iteration 2</t>
        </is>
      </c>
      <c r="J31" s="74" t="inlineStr">
        <is>
          <t>HungPV</t>
        </is>
      </c>
      <c r="K31" s="74" t="n"/>
      <c r="L31" s="70" t="inlineStr">
        <is>
          <t>Done</t>
        </is>
      </c>
      <c r="M31" s="74" t="n"/>
      <c r="N31" s="1" t="n"/>
      <c r="O31" s="1" t="n"/>
      <c r="P31" s="1" t="n"/>
      <c r="Q31" s="1" t="n"/>
      <c r="R31" s="1" t="n"/>
      <c r="S31" s="1" t="n"/>
      <c r="T31" s="1" t="n"/>
      <c r="U31" s="1" t="n"/>
      <c r="V31" s="1" t="n"/>
      <c r="W31" s="1" t="n"/>
      <c r="X31" s="1" t="n"/>
      <c r="Y31" s="1" t="n"/>
      <c r="Z31" s="1" t="n"/>
      <c r="AA31" s="1" t="n"/>
    </row>
    <row r="32">
      <c r="A32" s="26" t="n">
        <v>28</v>
      </c>
      <c r="B32" s="27" t="inlineStr">
        <is>
          <t>CHARGE operational location type</t>
        </is>
      </c>
      <c r="C32" s="59" t="inlineStr">
        <is>
          <t>Screen</t>
        </is>
      </c>
      <c r="D32" s="30" t="inlineStr">
        <is>
          <t>FE-02: Warehouse Map &amp; Topology</t>
        </is>
      </c>
      <c r="E32" s="31" t="inlineStr">
        <is>
          <t>Location Management</t>
        </is>
      </c>
      <c r="F32" s="30" t="inlineStr">
        <is>
          <t>Add CHARGE as an operational location type with charge points, so the Charge Engine can route AGVs to charge (BR-13).</t>
        </is>
      </c>
      <c r="G32" s="63" t="inlineStr">
        <is>
          <t>Medium</t>
        </is>
      </c>
      <c r="H32" s="76" t="n">
        <v>5</v>
      </c>
      <c r="I32" s="72" t="inlineStr">
        <is>
          <t>Iteration 3</t>
        </is>
      </c>
      <c r="J32" s="74" t="inlineStr">
        <is>
          <t>HungPV</t>
        </is>
      </c>
      <c r="K32" s="74" t="n"/>
      <c r="L32" s="75" t="inlineStr">
        <is>
          <t>Done</t>
        </is>
      </c>
      <c r="M32" s="74" t="n"/>
      <c r="N32" s="1" t="n"/>
      <c r="O32" s="1" t="n"/>
      <c r="P32" s="1" t="n"/>
      <c r="Q32" s="1" t="n"/>
      <c r="R32" s="1" t="n"/>
      <c r="S32" s="1" t="n"/>
      <c r="T32" s="1" t="n"/>
      <c r="U32" s="1" t="n"/>
      <c r="V32" s="1" t="n"/>
      <c r="W32" s="1" t="n"/>
      <c r="X32" s="1" t="n"/>
      <c r="Y32" s="1" t="n"/>
      <c r="Z32" s="1" t="n"/>
      <c r="AA32" s="1" t="n"/>
    </row>
    <row r="33" ht="15.75" customHeight="1" s="118">
      <c r="A33" s="26" t="n">
        <v>29</v>
      </c>
      <c r="B33" s="27" t="inlineStr">
        <is>
          <t>Set kernel operating mode</t>
        </is>
      </c>
      <c r="C33" s="29" t="inlineStr">
        <is>
          <t>Screen</t>
        </is>
      </c>
      <c r="D33" s="30" t="inlineStr">
        <is>
          <t>FE-02: Warehouse Map &amp; Topology</t>
        </is>
      </c>
      <c r="E33" s="31" t="inlineStr">
        <is>
          <t>Map Management</t>
        </is>
      </c>
      <c r="F33" s="30" t="inlineStr">
        <is>
          <t>Switch the FMS kernel between MODELLING and OPERATING so topology can be edited and then brought into service.</t>
        </is>
      </c>
      <c r="G33" s="63" t="inlineStr">
        <is>
          <t>Medium</t>
        </is>
      </c>
      <c r="H33" s="76" t="n">
        <v>5</v>
      </c>
      <c r="I33" s="35" t="inlineStr">
        <is>
          <t>Iteration 1</t>
        </is>
      </c>
      <c r="J33" s="36" t="inlineStr">
        <is>
          <t>HungPV</t>
        </is>
      </c>
      <c r="K33" s="34" t="n"/>
      <c r="L33" s="38" t="inlineStr">
        <is>
          <t>Done</t>
        </is>
      </c>
      <c r="M33" s="34" t="n"/>
      <c r="N33" s="1" t="n"/>
      <c r="O33" s="1" t="n"/>
      <c r="P33" s="1" t="n"/>
      <c r="Q33" s="1" t="n"/>
      <c r="R33" s="1" t="n"/>
      <c r="S33" s="1" t="n"/>
      <c r="T33" s="1" t="n"/>
      <c r="U33" s="1" t="n"/>
      <c r="V33" s="1" t="n"/>
      <c r="W33" s="1" t="n"/>
      <c r="X33" s="1" t="n"/>
      <c r="Y33" s="1" t="n"/>
      <c r="Z33" s="1" t="n"/>
      <c r="AA33" s="1" t="n"/>
    </row>
    <row r="34" ht="15.75" customHeight="1" s="118">
      <c r="A34" s="26" t="n">
        <v>30</v>
      </c>
      <c r="B34" s="27" t="inlineStr">
        <is>
          <t>Synchronise operational locations with the plant model</t>
        </is>
      </c>
      <c r="C34" s="29" t="inlineStr">
        <is>
          <t>Screen</t>
        </is>
      </c>
      <c r="D34" s="30" t="inlineStr">
        <is>
          <t>FE-02: Warehouse Map &amp; Topology</t>
        </is>
      </c>
      <c r="E34" s="31" t="inlineStr">
        <is>
          <t>Location Management</t>
        </is>
      </c>
      <c r="F34" s="30" t="inlineStr">
        <is>
          <t>Re-read the active plant model from the kernel and re-evaluate every operational location, marking STALE any whose member points no longer exist or which another location also claims, then report how many were checked, staled and restored.</t>
        </is>
      </c>
      <c r="G34" s="63" t="inlineStr">
        <is>
          <t>Medium</t>
        </is>
      </c>
      <c r="H34" s="76" t="n">
        <v>5</v>
      </c>
      <c r="I34" s="72" t="inlineStr">
        <is>
          <t>Iteration 3</t>
        </is>
      </c>
      <c r="J34" s="36" t="inlineStr">
        <is>
          <t>HungPV</t>
        </is>
      </c>
      <c r="K34" s="34" t="n"/>
      <c r="L34" s="38" t="inlineStr">
        <is>
          <t>Done</t>
        </is>
      </c>
      <c r="M34" s="34" t="n"/>
      <c r="N34" s="1" t="n"/>
      <c r="O34" s="1" t="n"/>
      <c r="P34" s="1" t="n"/>
      <c r="Q34" s="1" t="n"/>
      <c r="R34" s="1" t="n"/>
      <c r="S34" s="1" t="n"/>
      <c r="T34" s="1" t="n"/>
      <c r="U34" s="1" t="n"/>
      <c r="V34" s="1" t="n"/>
      <c r="W34" s="1" t="n"/>
      <c r="X34" s="1" t="n"/>
      <c r="Y34" s="1" t="n"/>
      <c r="Z34" s="1" t="n"/>
      <c r="AA34" s="1" t="n"/>
    </row>
    <row r="35" ht="14.25" customHeight="1" s="118">
      <c r="A35" s="26" t="n">
        <v>31</v>
      </c>
      <c r="B35" s="27" t="inlineStr">
        <is>
          <t>Map Auto-Load to FMS</t>
        </is>
      </c>
      <c r="C35" s="59" t="inlineStr">
        <is>
          <t>Non-UI</t>
        </is>
      </c>
      <c r="D35" s="30" t="inlineStr">
        <is>
          <t>FE-02: Warehouse Map &amp; Topology</t>
        </is>
      </c>
      <c r="E35" s="31" t="inlineStr">
        <is>
          <t>Map Management</t>
        </is>
      </c>
      <c r="F35" s="30" t="inlineStr">
        <is>
          <t>On bootstrap pushes the plant model to the kernel.</t>
        </is>
      </c>
      <c r="G35" s="63" t="inlineStr">
        <is>
          <t>Simple</t>
        </is>
      </c>
      <c r="H35" s="76" t="n">
        <v>3</v>
      </c>
      <c r="I35" s="72" t="inlineStr">
        <is>
          <t>Iteration 1</t>
        </is>
      </c>
      <c r="J35" s="74" t="inlineStr">
        <is>
          <t>HungPV</t>
        </is>
      </c>
      <c r="K35" s="74" t="n"/>
      <c r="L35" s="67" t="inlineStr">
        <is>
          <t>Done</t>
        </is>
      </c>
      <c r="M35" s="74" t="n"/>
      <c r="N35" s="1" t="n"/>
      <c r="O35" s="1" t="n"/>
      <c r="P35" s="1" t="n"/>
      <c r="Q35" s="1" t="n"/>
      <c r="R35" s="1" t="n"/>
      <c r="S35" s="1" t="n"/>
      <c r="T35" s="1" t="n"/>
      <c r="U35" s="1" t="n"/>
      <c r="V35" s="1" t="n"/>
      <c r="W35" s="1" t="n"/>
      <c r="X35" s="1" t="n"/>
      <c r="Y35" s="1" t="n"/>
      <c r="Z35" s="1" t="n"/>
      <c r="AA35" s="1" t="n"/>
    </row>
    <row r="36" ht="14.25" customHeight="1" s="118">
      <c r="A36" s="26" t="n">
        <v>32</v>
      </c>
      <c r="B36" s="27" t="inlineStr">
        <is>
          <t>Map Activation Push</t>
        </is>
      </c>
      <c r="C36" s="59" t="inlineStr">
        <is>
          <t>Non-UI</t>
        </is>
      </c>
      <c r="D36" s="30" t="inlineStr">
        <is>
          <t>FE-02: Warehouse Map &amp; Topology</t>
        </is>
      </c>
      <c r="E36" s="31" t="inlineStr">
        <is>
          <t>Map Management</t>
        </is>
      </c>
      <c r="F36" s="30" t="inlineStr">
        <is>
          <t>Pushes the full topology to the kernel on map activation.</t>
        </is>
      </c>
      <c r="G36" s="63" t="inlineStr">
        <is>
          <t>Medium</t>
        </is>
      </c>
      <c r="H36" s="76" t="n">
        <v>5</v>
      </c>
      <c r="I36" s="72" t="inlineStr">
        <is>
          <t>Iteration 1</t>
        </is>
      </c>
      <c r="J36" s="74" t="inlineStr">
        <is>
          <t>HungPV</t>
        </is>
      </c>
      <c r="K36" s="74" t="n"/>
      <c r="L36" s="67" t="inlineStr">
        <is>
          <t>Done</t>
        </is>
      </c>
      <c r="M36" s="74" t="n"/>
      <c r="N36" s="1" t="n"/>
      <c r="O36" s="1" t="n"/>
      <c r="P36" s="1" t="n"/>
      <c r="Q36" s="1" t="n"/>
      <c r="R36" s="1" t="n"/>
      <c r="S36" s="1" t="n"/>
      <c r="T36" s="1" t="n"/>
      <c r="U36" s="1" t="n"/>
      <c r="V36" s="1" t="n"/>
      <c r="W36" s="1" t="n"/>
      <c r="X36" s="1" t="n"/>
      <c r="Y36" s="1" t="n"/>
      <c r="Z36" s="1" t="n"/>
      <c r="AA36" s="1" t="n"/>
    </row>
    <row r="37" ht="14.25" customHeight="1" s="118">
      <c r="A37" s="26" t="n">
        <v>33</v>
      </c>
      <c r="B37" s="27" t="inlineStr">
        <is>
          <t>Approach Point Selector</t>
        </is>
      </c>
      <c r="C37" s="59" t="inlineStr">
        <is>
          <t>Non-UI</t>
        </is>
      </c>
      <c r="D37" s="30" t="inlineStr">
        <is>
          <t>FE-02: Warehouse Map &amp; Topology</t>
        </is>
      </c>
      <c r="E37" s="31" t="inlineStr">
        <is>
          <t>Resource Allocation</t>
        </is>
      </c>
      <c r="F37" s="30" t="inlineStr">
        <is>
          <t>Computes the feeder points of a destination zone from the plant-model paths entering it, asks the kernel to route the assigned vehicle to each candidate, and returns the cheapest reachable one as the approach point where the drop-off barrier is taken. The same distance feeds the loaded leg of the assignment cost.</t>
        </is>
      </c>
      <c r="G37" s="63" t="inlineStr">
        <is>
          <t>Medium</t>
        </is>
      </c>
      <c r="H37" s="76" t="n">
        <v>5</v>
      </c>
      <c r="I37" s="72" t="inlineStr">
        <is>
          <t>Iteration 2</t>
        </is>
      </c>
      <c r="J37" s="74" t="inlineStr">
        <is>
          <t>HungPV</t>
        </is>
      </c>
      <c r="K37" s="74" t="n"/>
      <c r="L37" s="67" t="inlineStr">
        <is>
          <t>Done</t>
        </is>
      </c>
      <c r="M37" s="74" t="n"/>
      <c r="N37" s="1" t="n"/>
      <c r="O37" s="1" t="n"/>
      <c r="P37" s="1" t="n"/>
      <c r="Q37" s="1" t="n"/>
      <c r="R37" s="1" t="n"/>
      <c r="S37" s="1" t="n"/>
      <c r="T37" s="1" t="n"/>
      <c r="U37" s="1" t="n"/>
      <c r="V37" s="1" t="n"/>
      <c r="W37" s="1" t="n"/>
      <c r="X37" s="1" t="n"/>
      <c r="Y37" s="1" t="n"/>
      <c r="Z37" s="1" t="n"/>
      <c r="AA37" s="1" t="n"/>
    </row>
    <row r="38" ht="14.25" customHeight="1" s="118">
      <c r="A38" s="26" t="n">
        <v>34</v>
      </c>
      <c r="B38" s="27" t="inlineStr">
        <is>
          <t>Corridor Detection &amp; Auto Block Generation</t>
        </is>
      </c>
      <c r="C38" s="59" t="inlineStr">
        <is>
          <t>Non-UI</t>
        </is>
      </c>
      <c r="D38" s="30" t="inlineStr">
        <is>
          <t>FE-02: Warehouse Map &amp; Topology</t>
        </is>
      </c>
      <c r="E38" s="31" t="inlineStr">
        <is>
          <t>Map Management</t>
        </is>
      </c>
      <c r="F38" s="30" t="inlineStr">
        <is>
          <t>On map load, analyses the parsed topology to detect single-file corridors and emits the corresponding single-vehicle blocks into the plant model before it is pushed to the kernel, so two AGVs are never granted opposing ends of the same aisle.</t>
        </is>
      </c>
      <c r="G38" s="63" t="inlineStr">
        <is>
          <t>Complex</t>
        </is>
      </c>
      <c r="H38" s="76" t="n">
        <v>8</v>
      </c>
      <c r="I38" s="72" t="inlineStr">
        <is>
          <t>Iteration 1</t>
        </is>
      </c>
      <c r="J38" s="74" t="inlineStr">
        <is>
          <t>HungPV</t>
        </is>
      </c>
      <c r="K38" s="74" t="n"/>
      <c r="L38" s="67" t="inlineStr">
        <is>
          <t>Done</t>
        </is>
      </c>
      <c r="M38" s="74" t="n"/>
      <c r="N38" s="1" t="n"/>
      <c r="O38" s="1" t="n"/>
      <c r="P38" s="1" t="n"/>
      <c r="Q38" s="1" t="n"/>
      <c r="R38" s="1" t="n"/>
      <c r="S38" s="1" t="n"/>
      <c r="T38" s="1" t="n"/>
      <c r="U38" s="1" t="n"/>
      <c r="V38" s="1" t="n"/>
      <c r="W38" s="1" t="n"/>
      <c r="X38" s="1" t="n"/>
      <c r="Y38" s="1" t="n"/>
      <c r="Z38" s="1" t="n"/>
      <c r="AA38" s="1" t="n"/>
    </row>
    <row r="39" ht="15.75" customHeight="1" s="118">
      <c r="A39" s="26" t="n">
        <v>35</v>
      </c>
      <c r="B39" s="27" t="inlineStr">
        <is>
          <t>Operator creates manual transport request</t>
        </is>
      </c>
      <c r="C39" s="29" t="inlineStr">
        <is>
          <t>Screen</t>
        </is>
      </c>
      <c r="D39" s="30" t="inlineStr">
        <is>
          <t>FE-03: Transport Request Management</t>
        </is>
      </c>
      <c r="E39" s="31" t="inlineStr">
        <is>
          <t>Request Creation</t>
        </is>
      </c>
      <c r="F39" s="30" t="inlineStr">
        <is>
          <t>UI form to manually input source and destination for a task.</t>
        </is>
      </c>
      <c r="G39" s="63" t="inlineStr">
        <is>
          <t>Medium</t>
        </is>
      </c>
      <c r="H39" s="76" t="n">
        <v>5</v>
      </c>
      <c r="I39" s="69" t="inlineStr">
        <is>
          <t>Iteration 2</t>
        </is>
      </c>
      <c r="J39" s="74" t="inlineStr">
        <is>
          <t>HungPV</t>
        </is>
      </c>
      <c r="K39" s="74" t="n"/>
      <c r="L39" s="67" t="inlineStr">
        <is>
          <t>Done</t>
        </is>
      </c>
      <c r="M39" s="74" t="n"/>
      <c r="N39" s="1" t="n"/>
      <c r="O39" s="1" t="n"/>
      <c r="P39" s="1" t="n"/>
      <c r="Q39" s="1" t="n"/>
      <c r="R39" s="1" t="n"/>
      <c r="S39" s="1" t="n"/>
      <c r="T39" s="1" t="n"/>
      <c r="U39" s="1" t="n"/>
      <c r="V39" s="1" t="n"/>
      <c r="W39" s="1" t="n"/>
      <c r="X39" s="1" t="n"/>
      <c r="Y39" s="1" t="n"/>
      <c r="Z39" s="1" t="n"/>
      <c r="AA39" s="1" t="n"/>
    </row>
    <row r="40" ht="15.75" customHeight="1" s="118">
      <c r="A40" s="40" t="n">
        <v>36</v>
      </c>
      <c r="B40" s="27" t="inlineStr">
        <is>
          <t>View transport request list</t>
        </is>
      </c>
      <c r="C40" s="29" t="inlineStr">
        <is>
          <t>Screen</t>
        </is>
      </c>
      <c r="D40" s="30" t="inlineStr">
        <is>
          <t>FE-03: Transport Request Management</t>
        </is>
      </c>
      <c r="E40" s="31" t="inlineStr">
        <is>
          <t>Request Monitoring</t>
        </is>
      </c>
      <c r="F40" s="30" t="inlineStr">
        <is>
          <t>Display a paginated list of all transport requests.</t>
        </is>
      </c>
      <c r="G40" s="63" t="inlineStr">
        <is>
          <t>Medium</t>
        </is>
      </c>
      <c r="H40" s="76" t="n">
        <v>5</v>
      </c>
      <c r="I40" s="69" t="inlineStr">
        <is>
          <t>Iteration 2</t>
        </is>
      </c>
      <c r="J40" s="74" t="inlineStr">
        <is>
          <t>HungPV</t>
        </is>
      </c>
      <c r="K40" s="74" t="n"/>
      <c r="L40" s="38" t="inlineStr">
        <is>
          <t>Done</t>
        </is>
      </c>
      <c r="M40" s="74" t="n"/>
      <c r="N40" s="1" t="n"/>
      <c r="O40" s="1" t="n"/>
      <c r="P40" s="1" t="n"/>
      <c r="Q40" s="1" t="n"/>
      <c r="R40" s="1" t="n"/>
      <c r="S40" s="1" t="n"/>
      <c r="T40" s="1" t="n"/>
      <c r="U40" s="1" t="n"/>
      <c r="V40" s="1" t="n"/>
      <c r="W40" s="1" t="n"/>
      <c r="X40" s="1" t="n"/>
      <c r="Y40" s="1" t="n"/>
      <c r="Z40" s="1" t="n"/>
      <c r="AA40" s="1" t="n"/>
    </row>
    <row r="41" ht="15.75" customHeight="1" s="118">
      <c r="A41" s="26" t="n">
        <v>37</v>
      </c>
      <c r="B41" s="27" t="inlineStr">
        <is>
          <t>View transport request details</t>
        </is>
      </c>
      <c r="C41" s="29" t="inlineStr">
        <is>
          <t>Screen</t>
        </is>
      </c>
      <c r="D41" s="30" t="inlineStr">
        <is>
          <t>FE-03: Transport Request Management</t>
        </is>
      </c>
      <c r="E41" s="31" t="inlineStr">
        <is>
          <t>Request Monitoring</t>
        </is>
      </c>
      <c r="F41" s="30" t="inlineStr">
        <is>
          <t>Show full lifecycle info of a specific transport request.</t>
        </is>
      </c>
      <c r="G41" s="63" t="inlineStr">
        <is>
          <t>Medium</t>
        </is>
      </c>
      <c r="H41" s="76" t="n">
        <v>5</v>
      </c>
      <c r="I41" s="69" t="inlineStr">
        <is>
          <t>Iteration 2</t>
        </is>
      </c>
      <c r="J41" s="74" t="inlineStr">
        <is>
          <t>HungPV</t>
        </is>
      </c>
      <c r="K41" s="74" t="n"/>
      <c r="L41" s="38" t="inlineStr">
        <is>
          <t>Done</t>
        </is>
      </c>
      <c r="M41" s="74" t="n"/>
      <c r="N41" s="1" t="n"/>
      <c r="O41" s="1" t="n"/>
      <c r="P41" s="1" t="n"/>
      <c r="Q41" s="1" t="n"/>
      <c r="R41" s="1" t="n"/>
      <c r="S41" s="1" t="n"/>
      <c r="T41" s="1" t="n"/>
      <c r="U41" s="1" t="n"/>
      <c r="V41" s="1" t="n"/>
      <c r="W41" s="1" t="n"/>
      <c r="X41" s="1" t="n"/>
      <c r="Y41" s="1" t="n"/>
      <c r="Z41" s="1" t="n"/>
      <c r="AA41" s="1" t="n"/>
    </row>
    <row r="42" ht="15.75" customHeight="1" s="118">
      <c r="A42" s="40" t="n">
        <v>38</v>
      </c>
      <c r="B42" s="27" t="inlineStr">
        <is>
          <t>Search transport requests</t>
        </is>
      </c>
      <c r="C42" s="29" t="inlineStr">
        <is>
          <t>Screen</t>
        </is>
      </c>
      <c r="D42" s="30" t="inlineStr">
        <is>
          <t>FE-03: Transport Request Management</t>
        </is>
      </c>
      <c r="E42" s="31" t="inlineStr">
        <is>
          <t>Request Monitoring</t>
        </is>
      </c>
      <c r="F42" s="30" t="inlineStr">
        <is>
          <t>Search tasks by ID, item code, or location.</t>
        </is>
      </c>
      <c r="G42" s="68" t="inlineStr">
        <is>
          <t>Simple</t>
        </is>
      </c>
      <c r="H42" s="76" t="n">
        <v>3</v>
      </c>
      <c r="I42" s="69" t="inlineStr">
        <is>
          <t>Iteration 2</t>
        </is>
      </c>
      <c r="J42" s="74" t="inlineStr">
        <is>
          <t>HungPV</t>
        </is>
      </c>
      <c r="K42" s="74" t="n"/>
      <c r="L42" s="38" t="inlineStr">
        <is>
          <t>Done</t>
        </is>
      </c>
      <c r="M42" s="74" t="n"/>
      <c r="N42" s="1" t="n"/>
      <c r="O42" s="1" t="n"/>
      <c r="P42" s="1" t="n"/>
      <c r="Q42" s="1" t="n"/>
      <c r="R42" s="1" t="n"/>
      <c r="S42" s="1" t="n"/>
      <c r="T42" s="1" t="n"/>
      <c r="U42" s="1" t="n"/>
      <c r="V42" s="1" t="n"/>
      <c r="W42" s="1" t="n"/>
      <c r="X42" s="1" t="n"/>
      <c r="Y42" s="1" t="n"/>
      <c r="Z42" s="1" t="n"/>
      <c r="AA42" s="1" t="n"/>
    </row>
    <row r="43" ht="15.75" customHeight="1" s="118">
      <c r="A43" s="26" t="n">
        <v>39</v>
      </c>
      <c r="B43" s="27" t="inlineStr">
        <is>
          <t>Filter transport requests</t>
        </is>
      </c>
      <c r="C43" s="29" t="inlineStr">
        <is>
          <t>Screen</t>
        </is>
      </c>
      <c r="D43" s="30" t="inlineStr">
        <is>
          <t>FE-03: Transport Request Management</t>
        </is>
      </c>
      <c r="E43" s="31" t="inlineStr">
        <is>
          <t>Request Monitoring</t>
        </is>
      </c>
      <c r="F43" s="30" t="inlineStr">
        <is>
          <t>Filter tasks by status (Pending, Executing, Completed, Failed).</t>
        </is>
      </c>
      <c r="G43" s="68" t="inlineStr">
        <is>
          <t>Simple</t>
        </is>
      </c>
      <c r="H43" s="76" t="n">
        <v>3</v>
      </c>
      <c r="I43" s="69" t="inlineStr">
        <is>
          <t>Iteration 2</t>
        </is>
      </c>
      <c r="J43" s="74" t="inlineStr">
        <is>
          <t>HungPV</t>
        </is>
      </c>
      <c r="K43" s="74" t="n"/>
      <c r="L43" s="38" t="inlineStr">
        <is>
          <t>Done</t>
        </is>
      </c>
      <c r="M43" s="74" t="n"/>
      <c r="N43" s="1" t="n"/>
      <c r="O43" s="1" t="n"/>
      <c r="P43" s="1" t="n"/>
      <c r="Q43" s="1" t="n"/>
      <c r="R43" s="1" t="n"/>
      <c r="S43" s="1" t="n"/>
      <c r="T43" s="1" t="n"/>
      <c r="U43" s="1" t="n"/>
      <c r="V43" s="1" t="n"/>
      <c r="W43" s="1" t="n"/>
      <c r="X43" s="1" t="n"/>
      <c r="Y43" s="1" t="n"/>
      <c r="Z43" s="1" t="n"/>
      <c r="AA43" s="1" t="n"/>
    </row>
    <row r="44" ht="15.75" customHeight="1" s="118">
      <c r="A44" s="40" t="n">
        <v>40</v>
      </c>
      <c r="B44" s="27" t="inlineStr">
        <is>
          <t>Cancel transport request</t>
        </is>
      </c>
      <c r="C44" s="29" t="inlineStr">
        <is>
          <t>Screen</t>
        </is>
      </c>
      <c r="D44" s="30" t="inlineStr">
        <is>
          <t>FE-03: Transport Request Management</t>
        </is>
      </c>
      <c r="E44" s="31" t="inlineStr">
        <is>
          <t>Request Action</t>
        </is>
      </c>
      <c r="F44" s="30" t="inlineStr">
        <is>
          <t>Abort an active or pending transport request.</t>
        </is>
      </c>
      <c r="G44" s="68" t="inlineStr">
        <is>
          <t>Simple</t>
        </is>
      </c>
      <c r="H44" s="76" t="n">
        <v>3</v>
      </c>
      <c r="I44" s="69" t="inlineStr">
        <is>
          <t>Iteration 2</t>
        </is>
      </c>
      <c r="J44" s="74" t="inlineStr">
        <is>
          <t>HungPV</t>
        </is>
      </c>
      <c r="K44" s="74" t="n"/>
      <c r="L44" s="67" t="inlineStr">
        <is>
          <t>Done</t>
        </is>
      </c>
      <c r="M44" s="74" t="n"/>
      <c r="N44" s="1" t="n"/>
      <c r="O44" s="1" t="n"/>
      <c r="P44" s="1" t="n"/>
      <c r="Q44" s="1" t="n"/>
      <c r="R44" s="1" t="n"/>
      <c r="S44" s="1" t="n"/>
      <c r="T44" s="1" t="n"/>
      <c r="U44" s="1" t="n"/>
      <c r="V44" s="1" t="n"/>
      <c r="W44" s="1" t="n"/>
      <c r="X44" s="1" t="n"/>
      <c r="Y44" s="1" t="n"/>
      <c r="Z44" s="1" t="n"/>
      <c r="AA44" s="1" t="n"/>
    </row>
    <row r="45" ht="15.75" customHeight="1" s="118">
      <c r="A45" s="26" t="n">
        <v>41</v>
      </c>
      <c r="B45" s="27" t="inlineStr">
        <is>
          <t>View invalid transport requests list</t>
        </is>
      </c>
      <c r="C45" s="29" t="inlineStr">
        <is>
          <t>Screen</t>
        </is>
      </c>
      <c r="D45" s="30" t="inlineStr">
        <is>
          <t>FE-03: Transport Request Management</t>
        </is>
      </c>
      <c r="E45" s="31" t="inlineStr">
        <is>
          <t>Exception Handling</t>
        </is>
      </c>
      <c r="F45" s="30" t="inlineStr">
        <is>
          <t>Display requests that failed validation upon creation.</t>
        </is>
      </c>
      <c r="G45" s="63" t="inlineStr">
        <is>
          <t>Medium</t>
        </is>
      </c>
      <c r="H45" s="76" t="n">
        <v>5</v>
      </c>
      <c r="I45" s="69" t="inlineStr">
        <is>
          <t>Iteration 2</t>
        </is>
      </c>
      <c r="J45" s="74" t="inlineStr">
        <is>
          <t>HungPV</t>
        </is>
      </c>
      <c r="K45" s="74" t="n"/>
      <c r="L45" s="70" t="inlineStr">
        <is>
          <t>Done</t>
        </is>
      </c>
      <c r="M45" s="74" t="n"/>
      <c r="N45" s="1" t="n"/>
      <c r="O45" s="1" t="n"/>
      <c r="P45" s="1" t="n"/>
      <c r="Q45" s="1" t="n"/>
      <c r="R45" s="1" t="n"/>
      <c r="S45" s="1" t="n"/>
      <c r="T45" s="1" t="n"/>
      <c r="U45" s="1" t="n"/>
      <c r="V45" s="1" t="n"/>
      <c r="W45" s="1" t="n"/>
      <c r="X45" s="1" t="n"/>
      <c r="Y45" s="1" t="n"/>
      <c r="Z45" s="1" t="n"/>
      <c r="AA45" s="1" t="n"/>
    </row>
    <row r="46" ht="15.75" customHeight="1" s="118">
      <c r="A46" s="40" t="n">
        <v>42</v>
      </c>
      <c r="B46" s="27" t="inlineStr">
        <is>
          <t>View reason for invalid transport request</t>
        </is>
      </c>
      <c r="C46" s="29" t="inlineStr">
        <is>
          <t>Screen</t>
        </is>
      </c>
      <c r="D46" s="30" t="inlineStr">
        <is>
          <t>FE-03: Transport Request Management</t>
        </is>
      </c>
      <c r="E46" s="31" t="inlineStr">
        <is>
          <t>Exception Handling</t>
        </is>
      </c>
      <c r="F46" s="30" t="inlineStr">
        <is>
          <t>Show why a request was rejected (e.g., bad coordinates).</t>
        </is>
      </c>
      <c r="G46" s="68" t="inlineStr">
        <is>
          <t>Simple</t>
        </is>
      </c>
      <c r="H46" s="76" t="n">
        <v>3</v>
      </c>
      <c r="I46" s="69" t="inlineStr">
        <is>
          <t>Iteration 2</t>
        </is>
      </c>
      <c r="J46" s="74" t="inlineStr">
        <is>
          <t>HungPV</t>
        </is>
      </c>
      <c r="K46" s="74" t="n"/>
      <c r="L46" s="70" t="inlineStr">
        <is>
          <t>Done</t>
        </is>
      </c>
      <c r="M46" s="74" t="n"/>
      <c r="N46" s="1" t="n"/>
      <c r="O46" s="1" t="n"/>
      <c r="P46" s="1" t="n"/>
      <c r="Q46" s="1" t="n"/>
      <c r="R46" s="1" t="n"/>
      <c r="S46" s="1" t="n"/>
      <c r="T46" s="1" t="n"/>
      <c r="U46" s="1" t="n"/>
      <c r="V46" s="1" t="n"/>
      <c r="W46" s="1" t="n"/>
      <c r="X46" s="1" t="n"/>
      <c r="Y46" s="1" t="n"/>
      <c r="Z46" s="1" t="n"/>
      <c r="AA46" s="1" t="n"/>
    </row>
    <row r="47" ht="15.75" customHeight="1" s="118">
      <c r="A47" s="26" t="n">
        <v>43</v>
      </c>
      <c r="B47" s="27" t="inlineStr">
        <is>
          <t>View AGV assigned to the request</t>
        </is>
      </c>
      <c r="C47" s="29" t="inlineStr">
        <is>
          <t>Screen</t>
        </is>
      </c>
      <c r="D47" s="30" t="inlineStr">
        <is>
          <t>FE-03: Transport Request Management</t>
        </is>
      </c>
      <c r="E47" s="31" t="inlineStr">
        <is>
          <t>Execution Tracking</t>
        </is>
      </c>
      <c r="F47" s="30" t="inlineStr">
        <is>
          <t>Display which AGV is currently handling the task.</t>
        </is>
      </c>
      <c r="G47" s="68" t="inlineStr">
        <is>
          <t>Simple</t>
        </is>
      </c>
      <c r="H47" s="76" t="n">
        <v>3</v>
      </c>
      <c r="I47" s="69" t="inlineStr">
        <is>
          <t>Iteration 2</t>
        </is>
      </c>
      <c r="J47" s="74" t="inlineStr">
        <is>
          <t>HungPV</t>
        </is>
      </c>
      <c r="K47" s="74" t="n"/>
      <c r="L47" s="67" t="inlineStr">
        <is>
          <t>Done</t>
        </is>
      </c>
      <c r="M47" s="74" t="n"/>
      <c r="N47" s="1" t="n"/>
      <c r="O47" s="1" t="n"/>
      <c r="P47" s="1" t="n"/>
      <c r="Q47" s="1" t="n"/>
      <c r="R47" s="1" t="n"/>
      <c r="S47" s="1" t="n"/>
      <c r="T47" s="1" t="n"/>
      <c r="U47" s="1" t="n"/>
      <c r="V47" s="1" t="n"/>
      <c r="W47" s="1" t="n"/>
      <c r="X47" s="1" t="n"/>
      <c r="Y47" s="1" t="n"/>
      <c r="Z47" s="1" t="n"/>
      <c r="AA47" s="1" t="n"/>
    </row>
    <row r="48" ht="15.75" customHeight="1" s="118">
      <c r="A48" s="40" t="n">
        <v>44</v>
      </c>
      <c r="B48" s="27" t="inlineStr">
        <is>
          <t>View transport request execution progress</t>
        </is>
      </c>
      <c r="C48" s="29" t="inlineStr">
        <is>
          <t>Screen</t>
        </is>
      </c>
      <c r="D48" s="30" t="inlineStr">
        <is>
          <t>FE-03: Transport Request Management</t>
        </is>
      </c>
      <c r="E48" s="31" t="inlineStr">
        <is>
          <t>Execution Tracking</t>
        </is>
      </c>
      <c r="F48" s="30" t="inlineStr">
        <is>
          <t>Track real-time progress of the task fulfillment.</t>
        </is>
      </c>
      <c r="G48" s="63" t="inlineStr">
        <is>
          <t>Medium</t>
        </is>
      </c>
      <c r="H48" s="76" t="n">
        <v>5</v>
      </c>
      <c r="I48" s="69" t="inlineStr">
        <is>
          <t>Iteration 2</t>
        </is>
      </c>
      <c r="J48" s="74" t="inlineStr">
        <is>
          <t>HungPV</t>
        </is>
      </c>
      <c r="K48" s="74" t="n"/>
      <c r="L48" s="67" t="inlineStr">
        <is>
          <t>Done</t>
        </is>
      </c>
      <c r="M48" s="74" t="n"/>
      <c r="N48" s="1" t="n"/>
      <c r="O48" s="1" t="n"/>
      <c r="P48" s="1" t="n"/>
      <c r="Q48" s="1" t="n"/>
      <c r="R48" s="1" t="n"/>
      <c r="S48" s="1" t="n"/>
      <c r="T48" s="1" t="n"/>
      <c r="U48" s="1" t="n"/>
      <c r="V48" s="1" t="n"/>
      <c r="W48" s="1" t="n"/>
      <c r="X48" s="1" t="n"/>
      <c r="Y48" s="1" t="n"/>
      <c r="Z48" s="1" t="n"/>
      <c r="AA48" s="1" t="n"/>
    </row>
    <row r="49" ht="15.75" customHeight="1" s="118">
      <c r="A49" s="26" t="n">
        <v>45</v>
      </c>
      <c r="B49" s="27" t="inlineStr">
        <is>
          <t>View reason for unassigned request</t>
        </is>
      </c>
      <c r="C49" s="29" t="inlineStr">
        <is>
          <t>Screen</t>
        </is>
      </c>
      <c r="D49" s="30" t="inlineStr">
        <is>
          <t>FE-03: Transport Request Management</t>
        </is>
      </c>
      <c r="E49" s="31" t="inlineStr">
        <is>
          <t>Execution Tracking</t>
        </is>
      </c>
      <c r="F49" s="30" t="inlineStr">
        <is>
          <t>Show why a task is stuck in the queue (e.g., no free AGV).</t>
        </is>
      </c>
      <c r="G49" s="63" t="inlineStr">
        <is>
          <t>Medium</t>
        </is>
      </c>
      <c r="H49" s="76" t="n">
        <v>5</v>
      </c>
      <c r="I49" s="69" t="inlineStr">
        <is>
          <t>Iteration 2</t>
        </is>
      </c>
      <c r="J49" s="74" t="inlineStr">
        <is>
          <t>HungPV</t>
        </is>
      </c>
      <c r="K49" s="74" t="n"/>
      <c r="L49" s="70" t="inlineStr">
        <is>
          <t>Done</t>
        </is>
      </c>
      <c r="M49" s="74" t="n"/>
      <c r="N49" s="1" t="n"/>
      <c r="O49" s="1" t="n"/>
      <c r="P49" s="1" t="n"/>
      <c r="Q49" s="1" t="n"/>
      <c r="R49" s="1" t="n"/>
      <c r="S49" s="1" t="n"/>
      <c r="T49" s="1" t="n"/>
      <c r="U49" s="1" t="n"/>
      <c r="V49" s="1" t="n"/>
      <c r="W49" s="1" t="n"/>
      <c r="X49" s="1" t="n"/>
      <c r="Y49" s="1" t="n"/>
      <c r="Z49" s="1" t="n"/>
      <c r="AA49" s="1" t="n"/>
    </row>
    <row r="50" ht="15.75" customHeight="1" s="118">
      <c r="A50" s="40" t="n">
        <v>46</v>
      </c>
      <c r="B50" s="27" t="inlineStr">
        <is>
          <t>View selected pickup point for the request</t>
        </is>
      </c>
      <c r="C50" s="29" t="inlineStr">
        <is>
          <t>Screen</t>
        </is>
      </c>
      <c r="D50" s="30" t="inlineStr">
        <is>
          <t>FE-03: Transport Request Management</t>
        </is>
      </c>
      <c r="E50" s="31" t="inlineStr">
        <is>
          <t>Execution Tracking</t>
        </is>
      </c>
      <c r="F50" s="30" t="inlineStr">
        <is>
          <t>Display the exact calculated node for the pickup action.</t>
        </is>
      </c>
      <c r="G50" s="68" t="inlineStr">
        <is>
          <t>Simple</t>
        </is>
      </c>
      <c r="H50" s="76" t="n">
        <v>3</v>
      </c>
      <c r="I50" s="69" t="inlineStr">
        <is>
          <t>Iteration 2</t>
        </is>
      </c>
      <c r="J50" s="74" t="inlineStr">
        <is>
          <t>HungPV</t>
        </is>
      </c>
      <c r="K50" s="74" t="n"/>
      <c r="L50" s="67" t="inlineStr">
        <is>
          <t>Done</t>
        </is>
      </c>
      <c r="M50" s="74" t="n"/>
      <c r="N50" s="1" t="n"/>
      <c r="O50" s="1" t="n"/>
      <c r="P50" s="1" t="n"/>
      <c r="Q50" s="1" t="n"/>
      <c r="R50" s="1" t="n"/>
      <c r="S50" s="1" t="n"/>
      <c r="T50" s="1" t="n"/>
      <c r="U50" s="1" t="n"/>
      <c r="V50" s="1" t="n"/>
      <c r="W50" s="1" t="n"/>
      <c r="X50" s="1" t="n"/>
      <c r="Y50" s="1" t="n"/>
      <c r="Z50" s="1" t="n"/>
      <c r="AA50" s="1" t="n"/>
    </row>
    <row r="51" ht="15.75" customHeight="1" s="118">
      <c r="A51" s="26" t="n">
        <v>47</v>
      </c>
      <c r="B51" s="27" t="inlineStr">
        <is>
          <t>View selected drop-off point for the request</t>
        </is>
      </c>
      <c r="C51" s="29" t="inlineStr">
        <is>
          <t>Screen</t>
        </is>
      </c>
      <c r="D51" s="30" t="inlineStr">
        <is>
          <t>FE-03: Transport Request Management</t>
        </is>
      </c>
      <c r="E51" s="31" t="inlineStr">
        <is>
          <t>Execution Tracking</t>
        </is>
      </c>
      <c r="F51" s="30" t="inlineStr">
        <is>
          <t>Display the exact calculated node for the drop-off action.</t>
        </is>
      </c>
      <c r="G51" s="68" t="inlineStr">
        <is>
          <t>Simple</t>
        </is>
      </c>
      <c r="H51" s="76" t="n">
        <v>3</v>
      </c>
      <c r="I51" s="69" t="inlineStr">
        <is>
          <t>Iteration 2</t>
        </is>
      </c>
      <c r="J51" s="74" t="inlineStr">
        <is>
          <t>HungPV</t>
        </is>
      </c>
      <c r="K51" s="74" t="n"/>
      <c r="L51" s="67" t="inlineStr">
        <is>
          <t>Done</t>
        </is>
      </c>
      <c r="M51" s="74" t="n"/>
      <c r="N51" s="1" t="n"/>
      <c r="O51" s="1" t="n"/>
      <c r="P51" s="1" t="n"/>
      <c r="Q51" s="1" t="n"/>
      <c r="R51" s="1" t="n"/>
      <c r="S51" s="1" t="n"/>
      <c r="T51" s="1" t="n"/>
      <c r="U51" s="1" t="n"/>
      <c r="V51" s="1" t="n"/>
      <c r="W51" s="1" t="n"/>
      <c r="X51" s="1" t="n"/>
      <c r="Y51" s="1" t="n"/>
      <c r="Z51" s="1" t="n"/>
      <c r="AA51" s="1" t="n"/>
    </row>
    <row r="52" ht="15.75" customHeight="1" s="118">
      <c r="A52" s="40" t="n">
        <v>48</v>
      </c>
      <c r="B52" s="27" t="inlineStr">
        <is>
          <t>View reason for no valid pickup/drop-off point</t>
        </is>
      </c>
      <c r="C52" s="29" t="inlineStr">
        <is>
          <t>Screen</t>
        </is>
      </c>
      <c r="D52" s="30" t="inlineStr">
        <is>
          <t>FE-03: Transport Request Management</t>
        </is>
      </c>
      <c r="E52" s="31" t="inlineStr">
        <is>
          <t>Exception Handling</t>
        </is>
      </c>
      <c r="F52" s="30" t="inlineStr">
        <is>
          <t>Explain logic failure when generating exact target nodes.</t>
        </is>
      </c>
      <c r="G52" s="63" t="inlineStr">
        <is>
          <t>Medium</t>
        </is>
      </c>
      <c r="H52" s="76" t="n">
        <v>5</v>
      </c>
      <c r="I52" s="69" t="inlineStr">
        <is>
          <t>Iteration 2</t>
        </is>
      </c>
      <c r="J52" s="74" t="inlineStr">
        <is>
          <t>HungPV</t>
        </is>
      </c>
      <c r="K52" s="74" t="n"/>
      <c r="L52" s="70" t="inlineStr">
        <is>
          <t>Not Started</t>
        </is>
      </c>
      <c r="M52" s="74" t="n"/>
      <c r="N52" s="1" t="n"/>
      <c r="O52" s="1" t="n"/>
      <c r="P52" s="1" t="n"/>
      <c r="Q52" s="1" t="n"/>
      <c r="R52" s="1" t="n"/>
      <c r="S52" s="1" t="n"/>
      <c r="T52" s="1" t="n"/>
      <c r="U52" s="1" t="n"/>
      <c r="V52" s="1" t="n"/>
      <c r="W52" s="1" t="n"/>
      <c r="X52" s="1" t="n"/>
      <c r="Y52" s="1" t="n"/>
      <c r="Z52" s="1" t="n"/>
      <c r="AA52" s="1" t="n"/>
    </row>
    <row r="53" ht="15.75" customHeight="1" s="118">
      <c r="A53" s="26" t="n">
        <v>49</v>
      </c>
      <c r="B53" s="27" t="inlineStr">
        <is>
          <t>Create cargo</t>
        </is>
      </c>
      <c r="C53" s="29" t="inlineStr">
        <is>
          <t>Screen</t>
        </is>
      </c>
      <c r="D53" s="30" t="inlineStr">
        <is>
          <t>FE-03: Transport Request Management</t>
        </is>
      </c>
      <c r="E53" s="31" t="inlineStr">
        <is>
          <t>Cargo Management</t>
        </is>
      </c>
      <c r="F53" s="30" t="inlineStr">
        <is>
          <t>Register a cargo entry in the system with source point and destination location, initiating the transport request lifecycle.</t>
        </is>
      </c>
      <c r="G53" s="63" t="inlineStr">
        <is>
          <t>Medium</t>
        </is>
      </c>
      <c r="H53" s="76" t="n">
        <v>5</v>
      </c>
      <c r="I53" s="69" t="inlineStr">
        <is>
          <t>Iteration 2</t>
        </is>
      </c>
      <c r="J53" s="74" t="inlineStr">
        <is>
          <t>HungPV</t>
        </is>
      </c>
      <c r="K53" s="74" t="n"/>
      <c r="L53" s="67" t="inlineStr">
        <is>
          <t>Done</t>
        </is>
      </c>
      <c r="M53" s="74" t="n"/>
      <c r="N53" s="1" t="n"/>
      <c r="O53" s="1" t="n"/>
      <c r="P53" s="1" t="n"/>
      <c r="Q53" s="1" t="n"/>
      <c r="R53" s="1" t="n"/>
      <c r="S53" s="1" t="n"/>
      <c r="T53" s="1" t="n"/>
      <c r="U53" s="1" t="n"/>
      <c r="V53" s="1" t="n"/>
      <c r="W53" s="1" t="n"/>
      <c r="X53" s="1" t="n"/>
      <c r="Y53" s="1" t="n"/>
      <c r="Z53" s="1" t="n"/>
      <c r="AA53" s="1" t="n"/>
    </row>
    <row r="54" ht="15.75" customHeight="1" s="118">
      <c r="A54" s="40" t="n">
        <v>50</v>
      </c>
      <c r="B54" s="27" t="inlineStr">
        <is>
          <t>Delete cargo</t>
        </is>
      </c>
      <c r="C54" s="29" t="inlineStr">
        <is>
          <t>Screen</t>
        </is>
      </c>
      <c r="D54" s="30" t="inlineStr">
        <is>
          <t>FE-03: Transport Request Management</t>
        </is>
      </c>
      <c r="E54" s="31" t="inlineStr">
        <is>
          <t>Cargo Management</t>
        </is>
      </c>
      <c r="F54" s="30" t="inlineStr">
        <is>
          <t>Remove a cargo record from the system and automatically cancel any linked transport task that has not yet reached PICKUP_COMPLETED state.</t>
        </is>
      </c>
      <c r="G54" s="63" t="inlineStr">
        <is>
          <t>Medium</t>
        </is>
      </c>
      <c r="H54" s="76" t="n">
        <v>5</v>
      </c>
      <c r="I54" s="69" t="inlineStr">
        <is>
          <t>Iteration 2</t>
        </is>
      </c>
      <c r="J54" s="74" t="inlineStr">
        <is>
          <t>HungPV</t>
        </is>
      </c>
      <c r="K54" s="74" t="n"/>
      <c r="L54" s="67" t="inlineStr">
        <is>
          <t>Done</t>
        </is>
      </c>
      <c r="M54" s="74" t="n"/>
      <c r="N54" s="1" t="n"/>
      <c r="O54" s="1" t="n"/>
      <c r="P54" s="1" t="n"/>
      <c r="Q54" s="1" t="n"/>
      <c r="R54" s="1" t="n"/>
      <c r="S54" s="1" t="n"/>
      <c r="T54" s="1" t="n"/>
      <c r="U54" s="1" t="n"/>
      <c r="V54" s="1" t="n"/>
      <c r="W54" s="1" t="n"/>
      <c r="X54" s="1" t="n"/>
      <c r="Y54" s="1" t="n"/>
      <c r="Z54" s="1" t="n"/>
      <c r="AA54" s="1" t="n"/>
    </row>
    <row r="55" ht="15.75" customHeight="1" s="118">
      <c r="A55" s="26" t="n">
        <v>51</v>
      </c>
      <c r="B55" s="27" t="inlineStr">
        <is>
          <t>View cargo list</t>
        </is>
      </c>
      <c r="C55" s="29" t="inlineStr">
        <is>
          <t>Screen</t>
        </is>
      </c>
      <c r="D55" s="30" t="inlineStr">
        <is>
          <t>FE-03: Transport Request Management</t>
        </is>
      </c>
      <c r="E55" s="31" t="inlineStr">
        <is>
          <t>Cargo Management</t>
        </is>
      </c>
      <c r="F55" s="30" t="inlineStr">
        <is>
          <t>Display a paginated list of all cargo entries, filterable by status (Active, Delivered, Cancelled).</t>
        </is>
      </c>
      <c r="G55" s="68" t="inlineStr">
        <is>
          <t>Simple</t>
        </is>
      </c>
      <c r="H55" s="76" t="n">
        <v>3</v>
      </c>
      <c r="I55" s="69" t="inlineStr">
        <is>
          <t>Iteration 2</t>
        </is>
      </c>
      <c r="J55" s="74" t="inlineStr">
        <is>
          <t>HungPV</t>
        </is>
      </c>
      <c r="K55" s="74" t="n"/>
      <c r="L55" s="67" t="inlineStr">
        <is>
          <t>Done</t>
        </is>
      </c>
      <c r="M55" s="74" t="n"/>
      <c r="N55" s="1" t="n"/>
      <c r="O55" s="1" t="n"/>
      <c r="P55" s="1" t="n"/>
      <c r="Q55" s="1" t="n"/>
      <c r="R55" s="1" t="n"/>
      <c r="S55" s="1" t="n"/>
      <c r="T55" s="1" t="n"/>
      <c r="U55" s="1" t="n"/>
      <c r="V55" s="1" t="n"/>
      <c r="W55" s="1" t="n"/>
      <c r="X55" s="1" t="n"/>
      <c r="Y55" s="1" t="n"/>
      <c r="Z55" s="1" t="n"/>
      <c r="AA55" s="1" t="n"/>
    </row>
    <row r="56" ht="15.75" customHeight="1" s="118">
      <c r="A56" s="40" t="n">
        <v>52</v>
      </c>
      <c r="B56" s="27" t="inlineStr">
        <is>
          <t>View cargo details</t>
        </is>
      </c>
      <c r="C56" s="29" t="inlineStr">
        <is>
          <t>Screen</t>
        </is>
      </c>
      <c r="D56" s="30" t="inlineStr">
        <is>
          <t>FE-03: Transport Request Management</t>
        </is>
      </c>
      <c r="E56" s="31" t="inlineStr">
        <is>
          <t>Cargo Management</t>
        </is>
      </c>
      <c r="F56" s="30" t="inlineStr">
        <is>
          <t>Show full information of a specific cargo entry including source, destination, linked transport task, and status history.</t>
        </is>
      </c>
      <c r="G56" s="68" t="inlineStr">
        <is>
          <t>Simple</t>
        </is>
      </c>
      <c r="H56" s="76" t="n">
        <v>3</v>
      </c>
      <c r="I56" s="69" t="inlineStr">
        <is>
          <t>Iteration 2</t>
        </is>
      </c>
      <c r="J56" s="74" t="inlineStr">
        <is>
          <t>HungPV</t>
        </is>
      </c>
      <c r="K56" s="74" t="n"/>
      <c r="L56" s="38" t="inlineStr">
        <is>
          <t>Done</t>
        </is>
      </c>
      <c r="M56" s="74" t="n"/>
      <c r="N56" s="1" t="n"/>
      <c r="O56" s="1" t="n"/>
      <c r="P56" s="1" t="n"/>
      <c r="Q56" s="1" t="n"/>
      <c r="R56" s="1" t="n"/>
      <c r="S56" s="1" t="n"/>
      <c r="T56" s="1" t="n"/>
      <c r="U56" s="1" t="n"/>
      <c r="V56" s="1" t="n"/>
      <c r="W56" s="1" t="n"/>
      <c r="X56" s="1" t="n"/>
      <c r="Y56" s="1" t="n"/>
      <c r="Z56" s="1" t="n"/>
      <c r="AA56" s="1" t="n"/>
    </row>
    <row r="57" ht="15.75" customHeight="1" s="118">
      <c r="A57" s="40" t="n">
        <v>53</v>
      </c>
      <c r="B57" s="27" t="inlineStr">
        <is>
          <t>Operator creates request from scanned data</t>
        </is>
      </c>
      <c r="C57" s="59" t="inlineStr">
        <is>
          <t>Non-UI</t>
        </is>
      </c>
      <c r="D57" s="30" t="inlineStr">
        <is>
          <t>FE-03: Transport Request Management</t>
        </is>
      </c>
      <c r="E57" s="31" t="inlineStr">
        <is>
          <t>Request Creation</t>
        </is>
      </c>
      <c r="F57" s="30" t="inlineStr">
        <is>
          <t>API endpoint to ingest request from scanner (QR + Barcode).</t>
        </is>
      </c>
      <c r="G57" s="63" t="inlineStr">
        <is>
          <t>Medium</t>
        </is>
      </c>
      <c r="H57" s="76" t="n">
        <v>5</v>
      </c>
      <c r="I57" s="69" t="inlineStr">
        <is>
          <t>Iteration 2</t>
        </is>
      </c>
      <c r="J57" s="74" t="inlineStr">
        <is>
          <t>HungPV</t>
        </is>
      </c>
      <c r="K57" s="74" t="n"/>
      <c r="L57" s="67" t="inlineStr">
        <is>
          <t>Done</t>
        </is>
      </c>
      <c r="M57" s="74" t="n"/>
      <c r="N57" s="1" t="n"/>
      <c r="O57" s="1" t="n"/>
      <c r="P57" s="1" t="n"/>
      <c r="Q57" s="1" t="n"/>
      <c r="R57" s="1" t="n"/>
      <c r="S57" s="1" t="n"/>
      <c r="T57" s="1" t="n"/>
      <c r="U57" s="1" t="n"/>
      <c r="V57" s="1" t="n"/>
      <c r="W57" s="1" t="n"/>
      <c r="X57" s="1" t="n"/>
      <c r="Y57" s="1" t="n"/>
      <c r="Z57" s="1" t="n"/>
      <c r="AA57" s="1" t="n"/>
    </row>
    <row r="58" ht="14.25" customHeight="1" s="118">
      <c r="A58" s="26" t="n">
        <v>54</v>
      </c>
      <c r="B58" s="27" t="inlineStr">
        <is>
          <t>Pickup Location Resolver &amp; Source Validation</t>
        </is>
      </c>
      <c r="C58" s="59" t="inlineStr">
        <is>
          <t>Non-UI</t>
        </is>
      </c>
      <c r="D58" s="30" t="inlineStr">
        <is>
          <t>FE-03: Transport Request Management</t>
        </is>
      </c>
      <c r="E58" s="31" t="inlineStr">
        <is>
          <t>Request Creation</t>
        </is>
      </c>
      <c r="F58" s="30" t="inlineStr">
        <is>
          <t>Resolves the pickup location that owns the operator-supplied source point and validates the request at creation (BR-07): rejects a point not linked to a location allowing the load operation, rejects a point that already holds ACTIVE cargo, resolves the source pickup zone, and confirms the destination zone has a free slot under an advisory lock. The pickup point itself is chosen by the operator, not computed.</t>
        </is>
      </c>
      <c r="G58" s="63" t="inlineStr">
        <is>
          <t>Medium</t>
        </is>
      </c>
      <c r="H58" s="76" t="n">
        <v>5</v>
      </c>
      <c r="I58" s="72" t="inlineStr">
        <is>
          <t>Iteration 2</t>
        </is>
      </c>
      <c r="J58" s="74" t="inlineStr">
        <is>
          <t>HungPV</t>
        </is>
      </c>
      <c r="K58" s="74" t="n"/>
      <c r="L58" s="67" t="inlineStr">
        <is>
          <t>Done</t>
        </is>
      </c>
      <c r="M58" s="74" t="n"/>
      <c r="N58" s="1" t="n"/>
      <c r="O58" s="1" t="n"/>
      <c r="P58" s="1" t="n"/>
      <c r="Q58" s="1" t="n"/>
      <c r="R58" s="1" t="n"/>
      <c r="S58" s="1" t="n"/>
      <c r="T58" s="1" t="n"/>
      <c r="U58" s="1" t="n"/>
      <c r="V58" s="1" t="n"/>
      <c r="W58" s="1" t="n"/>
      <c r="X58" s="1" t="n"/>
      <c r="Y58" s="1" t="n"/>
      <c r="Z58" s="1" t="n"/>
      <c r="AA58" s="1" t="n"/>
    </row>
    <row r="59" ht="14.25" customHeight="1" s="118">
      <c r="A59" s="26" t="n">
        <v>55</v>
      </c>
      <c r="B59" s="27" t="inlineStr">
        <is>
          <t>Drop-off Point Calculator</t>
        </is>
      </c>
      <c r="C59" s="59" t="inlineStr">
        <is>
          <t>Non-UI</t>
        </is>
      </c>
      <c r="D59" s="30" t="inlineStr">
        <is>
          <t>FE-03: Transport Request Management</t>
        </is>
      </c>
      <c r="E59" s="31" t="inlineStr">
        <is>
          <t>Cargo Management</t>
        </is>
      </c>
      <c r="F59" s="30" t="inlineStr">
        <is>
          <t>Cascading depth-first fill (BR-11), slot committed at the barrier.</t>
        </is>
      </c>
      <c r="G59" s="63" t="inlineStr">
        <is>
          <t>Complex</t>
        </is>
      </c>
      <c r="H59" s="76" t="n">
        <v>8</v>
      </c>
      <c r="I59" s="72" t="inlineStr">
        <is>
          <t>Iteration 2</t>
        </is>
      </c>
      <c r="J59" s="74" t="inlineStr">
        <is>
          <t>HungPV</t>
        </is>
      </c>
      <c r="K59" s="74" t="n"/>
      <c r="L59" s="67" t="inlineStr">
        <is>
          <t>Done</t>
        </is>
      </c>
      <c r="M59" s="74" t="n"/>
      <c r="N59" s="1" t="n"/>
      <c r="O59" s="1" t="n"/>
      <c r="P59" s="1" t="n"/>
      <c r="Q59" s="1" t="n"/>
      <c r="R59" s="1" t="n"/>
      <c r="S59" s="1" t="n"/>
      <c r="T59" s="1" t="n"/>
      <c r="U59" s="1" t="n"/>
      <c r="V59" s="1" t="n"/>
      <c r="W59" s="1" t="n"/>
      <c r="X59" s="1" t="n"/>
      <c r="Y59" s="1" t="n"/>
      <c r="Z59" s="1" t="n"/>
      <c r="AA59" s="1" t="n"/>
    </row>
    <row r="60" ht="14.25" customHeight="1" s="118">
      <c r="A60" s="26" t="n">
        <v>56</v>
      </c>
      <c r="B60" s="27" t="inlineStr">
        <is>
          <t>Cargo Debounce Timer</t>
        </is>
      </c>
      <c r="C60" s="59" t="inlineStr">
        <is>
          <t>Non-UI</t>
        </is>
      </c>
      <c r="D60" s="30" t="inlineStr">
        <is>
          <t>FE-03: Transport Request Management</t>
        </is>
      </c>
      <c r="E60" s="31" t="inlineStr">
        <is>
          <t>Request Creation</t>
        </is>
      </c>
      <c r="F60" s="30" t="inlineStr">
        <is>
          <t>1.5s debounce (OR-07) grouping rapid scans before conflict check.</t>
        </is>
      </c>
      <c r="G60" s="63" t="inlineStr">
        <is>
          <t>Simple</t>
        </is>
      </c>
      <c r="H60" s="76" t="n">
        <v>3</v>
      </c>
      <c r="I60" s="72" t="inlineStr">
        <is>
          <t>Iteration 2</t>
        </is>
      </c>
      <c r="J60" s="74" t="inlineStr">
        <is>
          <t>HungPV</t>
        </is>
      </c>
      <c r="K60" s="74" t="n"/>
      <c r="L60" s="67" t="inlineStr">
        <is>
          <t>Done</t>
        </is>
      </c>
      <c r="M60" s="74" t="n"/>
      <c r="N60" s="1" t="n"/>
      <c r="O60" s="1" t="n"/>
      <c r="P60" s="1" t="n"/>
      <c r="Q60" s="1" t="n"/>
      <c r="R60" s="1" t="n"/>
      <c r="S60" s="1" t="n"/>
      <c r="T60" s="1" t="n"/>
      <c r="U60" s="1" t="n"/>
      <c r="V60" s="1" t="n"/>
      <c r="W60" s="1" t="n"/>
      <c r="X60" s="1" t="n"/>
      <c r="Y60" s="1" t="n"/>
      <c r="Z60" s="1" t="n"/>
      <c r="AA60" s="1" t="n"/>
    </row>
    <row r="61" ht="14.25" customHeight="1" s="118">
      <c r="A61" s="26" t="n">
        <v>57</v>
      </c>
      <c r="B61" s="27" t="inlineStr">
        <is>
          <t>Conflict Check Engine</t>
        </is>
      </c>
      <c r="C61" s="59" t="inlineStr">
        <is>
          <t>Non-UI</t>
        </is>
      </c>
      <c r="D61" s="30" t="inlineStr">
        <is>
          <t>FE-03: Transport Request Management</t>
        </is>
      </c>
      <c r="E61" s="31" t="inlineStr">
        <is>
          <t>Exception Handling</t>
        </is>
      </c>
      <c r="F61" s="30" t="inlineStr">
        <is>
          <t>Prevents two requests taking the same slot; conflicts go BLOCKED.</t>
        </is>
      </c>
      <c r="G61" s="63" t="inlineStr">
        <is>
          <t>Medium</t>
        </is>
      </c>
      <c r="H61" s="76" t="n">
        <v>5</v>
      </c>
      <c r="I61" s="72" t="inlineStr">
        <is>
          <t>Iteration 2</t>
        </is>
      </c>
      <c r="J61" s="74" t="inlineStr">
        <is>
          <t>HungPV</t>
        </is>
      </c>
      <c r="K61" s="74" t="n"/>
      <c r="L61" s="67" t="inlineStr">
        <is>
          <t>Done</t>
        </is>
      </c>
      <c r="M61" s="74" t="n"/>
      <c r="N61" s="1" t="n"/>
      <c r="O61" s="1" t="n"/>
      <c r="P61" s="1" t="n"/>
      <c r="Q61" s="1" t="n"/>
      <c r="R61" s="1" t="n"/>
      <c r="S61" s="1" t="n"/>
      <c r="T61" s="1" t="n"/>
      <c r="U61" s="1" t="n"/>
      <c r="V61" s="1" t="n"/>
      <c r="W61" s="1" t="n"/>
      <c r="X61" s="1" t="n"/>
      <c r="Y61" s="1" t="n"/>
      <c r="Z61" s="1" t="n"/>
      <c r="AA61" s="1" t="n"/>
    </row>
    <row r="62" ht="14.25" customHeight="1" s="118">
      <c r="A62" s="26" t="n">
        <v>58</v>
      </c>
      <c r="B62" s="27" t="inlineStr">
        <is>
          <t>Transport Order Creator</t>
        </is>
      </c>
      <c r="C62" s="59" t="inlineStr">
        <is>
          <t>Non-UI</t>
        </is>
      </c>
      <c r="D62" s="30" t="inlineStr">
        <is>
          <t>FE-03: Transport Request Management</t>
        </is>
      </c>
      <c r="E62" s="31" t="inlineStr">
        <is>
          <t>Execution Tracking</t>
        </is>
      </c>
      <c r="F62" s="30" t="inlineStr">
        <is>
          <t>Assembles the request into an openTCS order with intendedVehicle.</t>
        </is>
      </c>
      <c r="G62" s="63" t="inlineStr">
        <is>
          <t>Medium</t>
        </is>
      </c>
      <c r="H62" s="76" t="n">
        <v>5</v>
      </c>
      <c r="I62" s="72" t="inlineStr">
        <is>
          <t>Iteration 2</t>
        </is>
      </c>
      <c r="J62" s="74" t="inlineStr">
        <is>
          <t>HungPV</t>
        </is>
      </c>
      <c r="K62" s="74" t="n"/>
      <c r="L62" s="67" t="inlineStr">
        <is>
          <t>Done</t>
        </is>
      </c>
      <c r="M62" s="74" t="n"/>
      <c r="N62" s="1" t="n"/>
      <c r="O62" s="1" t="n"/>
      <c r="P62" s="1" t="n"/>
      <c r="Q62" s="1" t="n"/>
      <c r="R62" s="1" t="n"/>
      <c r="S62" s="1" t="n"/>
      <c r="T62" s="1" t="n"/>
      <c r="U62" s="1" t="n"/>
      <c r="V62" s="1" t="n"/>
      <c r="W62" s="1" t="n"/>
      <c r="X62" s="1" t="n"/>
      <c r="Y62" s="1" t="n"/>
      <c r="Z62" s="1" t="n"/>
      <c r="AA62" s="1" t="n"/>
    </row>
    <row r="63" ht="14.25" customHeight="1" s="118">
      <c r="A63" s="26" t="n">
        <v>59</v>
      </c>
      <c r="B63" s="27" t="inlineStr">
        <is>
          <t>FMS Withdrawal Caller</t>
        </is>
      </c>
      <c r="C63" s="59" t="inlineStr">
        <is>
          <t>Non-UI</t>
        </is>
      </c>
      <c r="D63" s="30" t="inlineStr">
        <is>
          <t>FE-03: Transport Request Management</t>
        </is>
      </c>
      <c r="E63" s="31" t="inlineStr">
        <is>
          <t>Request Action</t>
        </is>
      </c>
      <c r="F63" s="30" t="inlineStr">
        <is>
          <t>Withdraws the openTCS order on cancel/fail after dispatch.</t>
        </is>
      </c>
      <c r="G63" s="63" t="inlineStr">
        <is>
          <t>Simple</t>
        </is>
      </c>
      <c r="H63" s="76" t="n">
        <v>3</v>
      </c>
      <c r="I63" s="72" t="inlineStr">
        <is>
          <t>Iteration 2</t>
        </is>
      </c>
      <c r="J63" s="74" t="inlineStr">
        <is>
          <t>HungPV</t>
        </is>
      </c>
      <c r="K63" s="74" t="n"/>
      <c r="L63" s="67" t="inlineStr">
        <is>
          <t>Done</t>
        </is>
      </c>
      <c r="M63" s="74" t="n"/>
      <c r="N63" s="1" t="n"/>
      <c r="O63" s="1" t="n"/>
      <c r="P63" s="1" t="n"/>
      <c r="Q63" s="1" t="n"/>
      <c r="R63" s="1" t="n"/>
      <c r="S63" s="1" t="n"/>
      <c r="T63" s="1" t="n"/>
      <c r="U63" s="1" t="n"/>
      <c r="V63" s="1" t="n"/>
      <c r="W63" s="1" t="n"/>
      <c r="X63" s="1" t="n"/>
      <c r="Y63" s="1" t="n"/>
      <c r="Z63" s="1" t="n"/>
      <c r="AA63" s="1" t="n"/>
    </row>
    <row r="64" ht="14.25" customHeight="1" s="118">
      <c r="A64" s="26" t="n">
        <v>60</v>
      </c>
      <c r="B64" s="27" t="inlineStr">
        <is>
          <t>openTCS Event Stream Consumer (SSE)</t>
        </is>
      </c>
      <c r="C64" s="59" t="inlineStr">
        <is>
          <t>Non-UI</t>
        </is>
      </c>
      <c r="D64" s="30" t="inlineStr">
        <is>
          <t>FE-03: Transport Request Management</t>
        </is>
      </c>
      <c r="E64" s="31" t="inlineStr">
        <is>
          <t>Execution Tracking</t>
        </is>
      </c>
      <c r="F64" s="30" t="inlineStr">
        <is>
          <t>Consumes the openTCS kernel's Server-Sent Events stream and turns it into WES domain events: transport-order finished per leg, drop-off unloaded, vehicle became available, and vehicle error appeared or cleared. Reconnects with a 3-second retry and raises a fleet-state heartbeat every 5 seconds whether or not a vehicle changed, so the dispatch flush keeps running when the stream is quiet.</t>
        </is>
      </c>
      <c r="G64" s="63" t="inlineStr">
        <is>
          <t>Complex</t>
        </is>
      </c>
      <c r="H64" s="76" t="n">
        <v>8</v>
      </c>
      <c r="I64" s="72" t="inlineStr">
        <is>
          <t>Iteration 2</t>
        </is>
      </c>
      <c r="J64" s="74" t="inlineStr">
        <is>
          <t>HungPV</t>
        </is>
      </c>
      <c r="K64" s="74" t="n"/>
      <c r="L64" s="67" t="inlineStr">
        <is>
          <t>Done</t>
        </is>
      </c>
      <c r="M64" s="74" t="n"/>
      <c r="N64" s="1" t="n"/>
      <c r="O64" s="1" t="n"/>
      <c r="P64" s="1" t="n"/>
      <c r="Q64" s="1" t="n"/>
      <c r="R64" s="1" t="n"/>
      <c r="S64" s="1" t="n"/>
      <c r="T64" s="1" t="n"/>
      <c r="U64" s="1" t="n"/>
      <c r="V64" s="1" t="n"/>
      <c r="W64" s="1" t="n"/>
      <c r="X64" s="1" t="n"/>
      <c r="Y64" s="1" t="n"/>
      <c r="Z64" s="1" t="n"/>
      <c r="AA64" s="1" t="n"/>
    </row>
    <row r="65" ht="14.25" customHeight="1" s="118">
      <c r="A65" s="26" t="n">
        <v>61</v>
      </c>
      <c r="B65" s="27" t="inlineStr">
        <is>
          <t>Transport Task Saga (3-leg orchestration)</t>
        </is>
      </c>
      <c r="C65" s="59" t="inlineStr">
        <is>
          <t>Non-UI</t>
        </is>
      </c>
      <c r="D65" s="30" t="inlineStr">
        <is>
          <t>FE-03: Transport Request Management</t>
        </is>
      </c>
      <c r="E65" s="31" t="inlineStr">
        <is>
          <t>Execution Tracking</t>
        </is>
      </c>
      <c r="F65" s="30" t="inlineStr">
        <is>
          <t>Drives one transport task through its three kernel orders: the pickup order to the operator-chosen source point, then on arrival at the destination zone's approach point takes exclusive access to that zone, commits the concrete drop-off slot (BR-11) and issues the drop-off order, and finally issues a retreat order that clears the vehicle two cells off the slot so it does not block the queue behind it. Each leg transition is recorded on the task status history.</t>
        </is>
      </c>
      <c r="G65" s="63" t="inlineStr">
        <is>
          <t>Complex</t>
        </is>
      </c>
      <c r="H65" s="76" t="n">
        <v>8</v>
      </c>
      <c r="I65" s="72" t="inlineStr">
        <is>
          <t>Iteration 2</t>
        </is>
      </c>
      <c r="J65" s="74" t="inlineStr">
        <is>
          <t>HungPV</t>
        </is>
      </c>
      <c r="K65" s="74" t="n"/>
      <c r="L65" s="67" t="inlineStr">
        <is>
          <t>Done</t>
        </is>
      </c>
      <c r="M65" s="74" t="n"/>
      <c r="N65" s="1" t="n"/>
      <c r="O65" s="1" t="n"/>
      <c r="P65" s="1" t="n"/>
      <c r="Q65" s="1" t="n"/>
      <c r="R65" s="1" t="n"/>
      <c r="S65" s="1" t="n"/>
      <c r="T65" s="1" t="n"/>
      <c r="U65" s="1" t="n"/>
      <c r="V65" s="1" t="n"/>
      <c r="W65" s="1" t="n"/>
      <c r="X65" s="1" t="n"/>
      <c r="Y65" s="1" t="n"/>
      <c r="Z65" s="1" t="n"/>
      <c r="AA65" s="1" t="n"/>
    </row>
    <row r="66" ht="14.25" customHeight="1" s="118">
      <c r="A66" s="26" t="n">
        <v>62</v>
      </c>
      <c r="B66" s="27" t="inlineStr">
        <is>
          <t>Leg Reconciliation Backstop</t>
        </is>
      </c>
      <c r="C66" s="59" t="inlineStr">
        <is>
          <t>Non-UI</t>
        </is>
      </c>
      <c r="D66" s="30" t="inlineStr">
        <is>
          <t>FE-03: Transport Request Management</t>
        </is>
      </c>
      <c r="E66" s="31" t="inlineStr">
        <is>
          <t>Exception Handling</t>
        </is>
      </c>
      <c r="F66" s="30" t="inlineStr">
        <is>
          <t>Level-triggered backstop for the transport-order event stream. Every dispatch cycle it recomputes the leg each live task should be on from the task's own state and confirms it against the kernel, so a lost "order finished" frame cannot strand a task in PICKING_UP or DELIVERING forever.</t>
        </is>
      </c>
      <c r="G66" s="63" t="inlineStr">
        <is>
          <t>Medium</t>
        </is>
      </c>
      <c r="H66" s="76" t="n">
        <v>5</v>
      </c>
      <c r="I66" s="72" t="inlineStr">
        <is>
          <t>Iteration 3</t>
        </is>
      </c>
      <c r="J66" s="74" t="inlineStr">
        <is>
          <t>HungPV</t>
        </is>
      </c>
      <c r="K66" s="74" t="n"/>
      <c r="L66" s="67" t="inlineStr">
        <is>
          <t>Done</t>
        </is>
      </c>
      <c r="M66" s="74" t="n"/>
      <c r="N66" s="1" t="n"/>
      <c r="O66" s="1" t="n"/>
      <c r="P66" s="1" t="n"/>
      <c r="Q66" s="1" t="n"/>
      <c r="R66" s="1" t="n"/>
      <c r="S66" s="1" t="n"/>
      <c r="T66" s="1" t="n"/>
      <c r="U66" s="1" t="n"/>
      <c r="V66" s="1" t="n"/>
      <c r="W66" s="1" t="n"/>
      <c r="X66" s="1" t="n"/>
      <c r="Y66" s="1" t="n"/>
      <c r="Z66" s="1" t="n"/>
      <c r="AA66" s="1" t="n"/>
    </row>
    <row r="67" ht="15.75" customHeight="1" s="118">
      <c r="A67" s="26" t="n">
        <v>63</v>
      </c>
      <c r="B67" s="27" t="inlineStr">
        <is>
          <t>Configure AGV dispatch policy</t>
        </is>
      </c>
      <c r="C67" s="29" t="inlineStr">
        <is>
          <t>Screen</t>
        </is>
      </c>
      <c r="D67" s="30" t="inlineStr">
        <is>
          <t>FE-04: Dispatch Orchestration &amp; Release Control</t>
        </is>
      </c>
      <c r="E67" s="31" t="inlineStr">
        <is>
          <t>Policy Configuration</t>
        </is>
      </c>
      <c r="F67" s="30" t="inlineStr">
        <is>
          <t>Define rules for task prioritization and assignment logic.</t>
        </is>
      </c>
      <c r="G67" s="71" t="inlineStr">
        <is>
          <t>Complex</t>
        </is>
      </c>
      <c r="H67" s="76" t="n">
        <v>8</v>
      </c>
      <c r="I67" s="69" t="inlineStr">
        <is>
          <t>Iteration 2</t>
        </is>
      </c>
      <c r="J67" s="74" t="inlineStr">
        <is>
          <t>DucNH</t>
        </is>
      </c>
      <c r="K67" s="74" t="n"/>
      <c r="L67" s="70" t="inlineStr">
        <is>
          <t>Done</t>
        </is>
      </c>
      <c r="M67" s="74" t="n"/>
      <c r="N67" s="1" t="n"/>
      <c r="O67" s="1" t="n"/>
      <c r="P67" s="1" t="n"/>
      <c r="Q67" s="1" t="n"/>
      <c r="R67" s="1" t="n"/>
      <c r="S67" s="1" t="n"/>
      <c r="T67" s="1" t="n"/>
      <c r="U67" s="1" t="n"/>
      <c r="V67" s="1" t="n"/>
      <c r="W67" s="1" t="n"/>
      <c r="X67" s="1" t="n"/>
      <c r="Y67" s="1" t="n"/>
      <c r="Z67" s="1" t="n"/>
      <c r="AA67" s="1" t="n"/>
    </row>
    <row r="68" ht="15.75" customHeight="1" s="118">
      <c r="A68" s="40" t="n">
        <v>64</v>
      </c>
      <c r="B68" s="27" t="inlineStr">
        <is>
          <t>Update AGV dispatch policy</t>
        </is>
      </c>
      <c r="C68" s="29" t="inlineStr">
        <is>
          <t>Screen</t>
        </is>
      </c>
      <c r="D68" s="30" t="inlineStr">
        <is>
          <t>FE-04: Dispatch Orchestration &amp; Release Control</t>
        </is>
      </c>
      <c r="E68" s="31" t="inlineStr">
        <is>
          <t>Policy Configuration</t>
        </is>
      </c>
      <c r="F68" s="30" t="inlineStr">
        <is>
          <t>Modify existing dispatch and orchestration rules.</t>
        </is>
      </c>
      <c r="G68" s="71" t="inlineStr">
        <is>
          <t>Complex</t>
        </is>
      </c>
      <c r="H68" s="76" t="n">
        <v>8</v>
      </c>
      <c r="I68" s="69" t="inlineStr">
        <is>
          <t>Iteration 2</t>
        </is>
      </c>
      <c r="J68" s="74" t="inlineStr">
        <is>
          <t>DucNH</t>
        </is>
      </c>
      <c r="K68" s="74" t="n"/>
      <c r="L68" s="70" t="inlineStr">
        <is>
          <t>Done</t>
        </is>
      </c>
      <c r="M68" s="74" t="n"/>
      <c r="N68" s="1" t="n"/>
      <c r="O68" s="1" t="n"/>
      <c r="P68" s="1" t="n"/>
      <c r="Q68" s="1" t="n"/>
      <c r="R68" s="1" t="n"/>
      <c r="S68" s="1" t="n"/>
      <c r="T68" s="1" t="n"/>
      <c r="U68" s="1" t="n"/>
      <c r="V68" s="1" t="n"/>
      <c r="W68" s="1" t="n"/>
      <c r="X68" s="1" t="n"/>
      <c r="Y68" s="1" t="n"/>
      <c r="Z68" s="1" t="n"/>
      <c r="AA68" s="1" t="n"/>
    </row>
    <row r="69" ht="15.75" customHeight="1" s="118">
      <c r="A69" s="26" t="n">
        <v>65</v>
      </c>
      <c r="B69" s="27" t="inlineStr">
        <is>
          <t>View transport request dispatch queue</t>
        </is>
      </c>
      <c r="C69" s="29" t="inlineStr">
        <is>
          <t>Screen</t>
        </is>
      </c>
      <c r="D69" s="30" t="inlineStr">
        <is>
          <t>FE-04: Dispatch Orchestration &amp; Release Control</t>
        </is>
      </c>
      <c r="E69" s="31" t="inlineStr">
        <is>
          <t>Queue Management</t>
        </is>
      </c>
      <c r="F69" s="30" t="inlineStr">
        <is>
          <t>View the list of requests waiting to be orchestrated.</t>
        </is>
      </c>
      <c r="G69" s="63" t="inlineStr">
        <is>
          <t>Medium</t>
        </is>
      </c>
      <c r="H69" s="76" t="n">
        <v>5</v>
      </c>
      <c r="I69" s="69" t="inlineStr">
        <is>
          <t>Iteration 2</t>
        </is>
      </c>
      <c r="J69" s="74" t="inlineStr">
        <is>
          <t>DucNH</t>
        </is>
      </c>
      <c r="K69" s="74" t="n"/>
      <c r="L69" s="38" t="inlineStr">
        <is>
          <t>Done</t>
        </is>
      </c>
      <c r="M69" s="74" t="n"/>
      <c r="N69" s="1" t="n"/>
      <c r="O69" s="1" t="n"/>
      <c r="P69" s="1" t="n"/>
      <c r="Q69" s="1" t="n"/>
      <c r="R69" s="1" t="n"/>
      <c r="S69" s="1" t="n"/>
      <c r="T69" s="1" t="n"/>
      <c r="U69" s="1" t="n"/>
      <c r="V69" s="1" t="n"/>
      <c r="W69" s="1" t="n"/>
      <c r="X69" s="1" t="n"/>
      <c r="Y69" s="1" t="n"/>
      <c r="Z69" s="1" t="n"/>
      <c r="AA69" s="1" t="n"/>
    </row>
    <row r="70" ht="15.75" customHeight="1" s="118">
      <c r="A70" s="40" t="n">
        <v>66</v>
      </c>
      <c r="B70" s="27" t="inlineStr">
        <is>
          <t>View details of a request in dispatch queue</t>
        </is>
      </c>
      <c r="C70" s="29" t="inlineStr">
        <is>
          <t>Screen</t>
        </is>
      </c>
      <c r="D70" s="30" t="inlineStr">
        <is>
          <t>FE-04: Dispatch Orchestration &amp; Release Control</t>
        </is>
      </c>
      <c r="E70" s="31" t="inlineStr">
        <is>
          <t>Queue Management</t>
        </is>
      </c>
      <c r="F70" s="30" t="inlineStr">
        <is>
          <t>Examine specific orchestration parameters of a queued task.</t>
        </is>
      </c>
      <c r="G70" s="63" t="inlineStr">
        <is>
          <t>Medium</t>
        </is>
      </c>
      <c r="H70" s="76" t="n">
        <v>5</v>
      </c>
      <c r="I70" s="69" t="inlineStr">
        <is>
          <t>Iteration 2</t>
        </is>
      </c>
      <c r="J70" s="74" t="inlineStr">
        <is>
          <t>DucNH</t>
        </is>
      </c>
      <c r="K70" s="74" t="n"/>
      <c r="L70" s="38" t="inlineStr">
        <is>
          <t>Done</t>
        </is>
      </c>
      <c r="M70" s="74" t="n"/>
      <c r="N70" s="1" t="n"/>
      <c r="O70" s="1" t="n"/>
      <c r="P70" s="1" t="n"/>
      <c r="Q70" s="1" t="n"/>
      <c r="R70" s="1" t="n"/>
      <c r="S70" s="1" t="n"/>
      <c r="T70" s="1" t="n"/>
      <c r="U70" s="1" t="n"/>
      <c r="V70" s="1" t="n"/>
      <c r="W70" s="1" t="n"/>
      <c r="X70" s="1" t="n"/>
      <c r="Y70" s="1" t="n"/>
      <c r="Z70" s="1" t="n"/>
      <c r="AA70" s="1" t="n"/>
    </row>
    <row r="71" ht="15.75" customHeight="1" s="118">
      <c r="A71" s="26" t="n">
        <v>67</v>
      </c>
      <c r="B71" s="27" t="inlineStr">
        <is>
          <t>View blocked dispatch requests</t>
        </is>
      </c>
      <c r="C71" s="29" t="inlineStr">
        <is>
          <t>Screen</t>
        </is>
      </c>
      <c r="D71" s="30" t="inlineStr">
        <is>
          <t>FE-04: Dispatch Orchestration &amp; Release Control</t>
        </is>
      </c>
      <c r="E71" s="31" t="inlineStr">
        <is>
          <t>Queue Management</t>
        </is>
      </c>
      <c r="F71" s="30" t="inlineStr">
        <is>
          <t>Display tasks that cannot be dispatched due to logic blocks.</t>
        </is>
      </c>
      <c r="G71" s="63" t="inlineStr">
        <is>
          <t>Medium</t>
        </is>
      </c>
      <c r="H71" s="76" t="n">
        <v>5</v>
      </c>
      <c r="I71" s="69" t="inlineStr">
        <is>
          <t>Iteration 2</t>
        </is>
      </c>
      <c r="J71" s="74" t="inlineStr">
        <is>
          <t>DucNH</t>
        </is>
      </c>
      <c r="K71" s="74" t="n"/>
      <c r="L71" s="38" t="inlineStr">
        <is>
          <t>Done</t>
        </is>
      </c>
      <c r="M71" s="74" t="n"/>
      <c r="N71" s="1" t="n"/>
      <c r="O71" s="1" t="n"/>
      <c r="P71" s="1" t="n"/>
      <c r="Q71" s="1" t="n"/>
      <c r="R71" s="1" t="n"/>
      <c r="S71" s="1" t="n"/>
      <c r="T71" s="1" t="n"/>
      <c r="U71" s="1" t="n"/>
      <c r="V71" s="1" t="n"/>
      <c r="W71" s="1" t="n"/>
      <c r="X71" s="1" t="n"/>
      <c r="Y71" s="1" t="n"/>
      <c r="Z71" s="1" t="n"/>
      <c r="AA71" s="1" t="n"/>
    </row>
    <row r="72" ht="15.75" customHeight="1" s="118">
      <c r="A72" s="40" t="n">
        <v>68</v>
      </c>
      <c r="B72" s="27" t="inlineStr">
        <is>
          <t>View reason for held-back requests</t>
        </is>
      </c>
      <c r="C72" s="29" t="inlineStr">
        <is>
          <t>Screen</t>
        </is>
      </c>
      <c r="D72" s="30" t="inlineStr">
        <is>
          <t>FE-04: Dispatch Orchestration &amp; Release Control</t>
        </is>
      </c>
      <c r="E72" s="31" t="inlineStr">
        <is>
          <t>Queue Management</t>
        </is>
      </c>
      <c r="F72" s="30" t="inlineStr">
        <is>
          <t>Show physical/logic constraints preventing dispatch (e.g., out of order).</t>
        </is>
      </c>
      <c r="G72" s="63" t="inlineStr">
        <is>
          <t>Medium</t>
        </is>
      </c>
      <c r="H72" s="76" t="n">
        <v>5</v>
      </c>
      <c r="I72" s="69" t="inlineStr">
        <is>
          <t>Iteration 2</t>
        </is>
      </c>
      <c r="J72" s="74" t="inlineStr">
        <is>
          <t>DucNH</t>
        </is>
      </c>
      <c r="K72" s="74" t="n"/>
      <c r="L72" s="38" t="inlineStr">
        <is>
          <t>Done</t>
        </is>
      </c>
      <c r="M72" s="74" t="n"/>
      <c r="N72" s="1" t="n"/>
      <c r="O72" s="1" t="n"/>
      <c r="P72" s="1" t="n"/>
      <c r="Q72" s="1" t="n"/>
      <c r="R72" s="1" t="n"/>
      <c r="S72" s="1" t="n"/>
      <c r="T72" s="1" t="n"/>
      <c r="U72" s="1" t="n"/>
      <c r="V72" s="1" t="n"/>
      <c r="W72" s="1" t="n"/>
      <c r="X72" s="1" t="n"/>
      <c r="Y72" s="1" t="n"/>
      <c r="Z72" s="1" t="n"/>
      <c r="AA72" s="1" t="n"/>
    </row>
    <row r="73" ht="15.75" customHeight="1" s="118">
      <c r="A73" s="40" t="n">
        <v>69</v>
      </c>
      <c r="B73" s="27" t="inlineStr">
        <is>
          <t>View system's reason for AGV selection</t>
        </is>
      </c>
      <c r="C73" s="29" t="inlineStr">
        <is>
          <t>Screen</t>
        </is>
      </c>
      <c r="D73" s="30" t="inlineStr">
        <is>
          <t>FE-04: Dispatch Orchestration &amp; Release Control</t>
        </is>
      </c>
      <c r="E73" s="31" t="inlineStr">
        <is>
          <t>Assignment Explainability</t>
        </is>
      </c>
      <c r="F73" s="30" t="inlineStr">
        <is>
          <t>Display the heuristic/logic used to assign a specific AGV.</t>
        </is>
      </c>
      <c r="G73" s="71" t="inlineStr">
        <is>
          <t>Complex</t>
        </is>
      </c>
      <c r="H73" s="76" t="n">
        <v>8</v>
      </c>
      <c r="I73" s="69" t="inlineStr">
        <is>
          <t>Iteration 2</t>
        </is>
      </c>
      <c r="J73" s="74" t="inlineStr">
        <is>
          <t>DucNH</t>
        </is>
      </c>
      <c r="K73" s="74" t="n"/>
      <c r="L73" s="38" t="inlineStr">
        <is>
          <t>Done</t>
        </is>
      </c>
      <c r="M73" s="74" t="n"/>
      <c r="N73" s="1" t="n"/>
      <c r="O73" s="1" t="n"/>
      <c r="P73" s="1" t="n"/>
      <c r="Q73" s="1" t="n"/>
      <c r="R73" s="1" t="n"/>
      <c r="S73" s="1" t="n"/>
      <c r="T73" s="1" t="n"/>
      <c r="U73" s="1" t="n"/>
      <c r="V73" s="1" t="n"/>
      <c r="W73" s="1" t="n"/>
      <c r="X73" s="1" t="n"/>
      <c r="Y73" s="1" t="n"/>
      <c r="Z73" s="1" t="n"/>
      <c r="AA73" s="1" t="n"/>
    </row>
    <row r="74" ht="14.25" customHeight="1" s="118">
      <c r="A74" s="26" t="n">
        <v>70</v>
      </c>
      <c r="B74" s="27" t="inlineStr">
        <is>
          <t>Task Release Engine</t>
        </is>
      </c>
      <c r="C74" s="59" t="inlineStr">
        <is>
          <t>Non-UI</t>
        </is>
      </c>
      <c r="D74" s="30" t="inlineStr">
        <is>
          <t>FE-04: Dispatch Orchestration &amp; Release Control</t>
        </is>
      </c>
      <c r="E74" s="31" t="inlineStr">
        <is>
          <t>Queue Management</t>
        </is>
      </c>
      <c r="F74" s="30" t="inlineStr">
        <is>
          <t>One stage of every dispatch flush. The flush is event-driven - transport-task creation, any task status change, or the openTCS fleet-state signal - each coalesced by a 1.5-second debounce (OR-07) under a single-flight latch, with the fleet-state signal raised every DISPATCH_HEARTBEAT_MS (default 5,000 ms) so a flush still runs in an idle system. Re-evaluates every task whose cargo is still at its source point against the outer-before-inner lane rule (BR-10): held tasks move to BLOCKED with the blocking slot recorded, and tasks whose blocker has cleared return to READY_TO_ASSIGN. Lane and depth are derived from the pickup zone's plant-model geometry.</t>
        </is>
      </c>
      <c r="G74" s="63" t="inlineStr">
        <is>
          <t>Medium</t>
        </is>
      </c>
      <c r="H74" s="76" t="n">
        <v>5</v>
      </c>
      <c r="I74" s="72" t="inlineStr">
        <is>
          <t>Iteration 2</t>
        </is>
      </c>
      <c r="J74" s="74" t="inlineStr">
        <is>
          <t>DucNH</t>
        </is>
      </c>
      <c r="K74" s="74" t="n"/>
      <c r="L74" s="67" t="inlineStr">
        <is>
          <t>Done</t>
        </is>
      </c>
      <c r="M74" s="74" t="n"/>
      <c r="N74" s="1" t="n"/>
      <c r="O74" s="1" t="n"/>
      <c r="P74" s="1" t="n"/>
      <c r="Q74" s="1" t="n"/>
      <c r="R74" s="1" t="n"/>
      <c r="S74" s="1" t="n"/>
      <c r="T74" s="1" t="n"/>
      <c r="U74" s="1" t="n"/>
      <c r="V74" s="1" t="n"/>
      <c r="W74" s="1" t="n"/>
      <c r="X74" s="1" t="n"/>
      <c r="Y74" s="1" t="n"/>
      <c r="Z74" s="1" t="n"/>
      <c r="AA74" s="1" t="n"/>
    </row>
    <row r="75" ht="14.25" customHeight="1" s="118">
      <c r="A75" s="26" t="n">
        <v>71</v>
      </c>
      <c r="B75" s="27" t="inlineStr">
        <is>
          <t>Task Assignment Engine (Hungarian)</t>
        </is>
      </c>
      <c r="C75" s="59" t="inlineStr">
        <is>
          <t>Non-UI</t>
        </is>
      </c>
      <c r="D75" s="30" t="inlineStr">
        <is>
          <t>FE-04: Dispatch Orchestration &amp; Release Control</t>
        </is>
      </c>
      <c r="E75" s="31" t="inlineStr">
        <is>
          <t>Assignment Logic</t>
        </is>
      </c>
      <c r="F75" s="30" t="inlineStr">
        <is>
          <t>Global Hungarian minimum-cost matching over a task x vehicle matrix rebuilt on every dispatch flush. Tasks enter FIFO by creation time and the batch is cut at the number of eligible vehicles; a vehicle is eligible when dispatch is enabled, it is not IGNORED (BR-06), it holds no active task (BR-05), its battery is above the critical threshold (BR-02), and the kernel reports it idle or driving to a parking position. A reachable pair costs the driving distance from the vehicle to the pickup point computed by Dijkstra over the reversed road graph so one-way paths are respected, scaled by weight_battery where the active policy sets it above zero; unknown and graph-confirmed unreachable pairs take two escalating sentinels so the solver maximises tasks served before minimising distance.</t>
        </is>
      </c>
      <c r="G75" s="63" t="inlineStr">
        <is>
          <t>Complex</t>
        </is>
      </c>
      <c r="H75" s="76" t="n">
        <v>8</v>
      </c>
      <c r="I75" s="72" t="inlineStr">
        <is>
          <t>Iteration 2</t>
        </is>
      </c>
      <c r="J75" s="74" t="inlineStr">
        <is>
          <t>DucNH</t>
        </is>
      </c>
      <c r="K75" s="74" t="n"/>
      <c r="L75" s="67" t="inlineStr">
        <is>
          <t>Done</t>
        </is>
      </c>
      <c r="M75" s="74" t="n"/>
      <c r="N75" s="1" t="n"/>
      <c r="O75" s="1" t="n"/>
      <c r="P75" s="1" t="n"/>
      <c r="Q75" s="1" t="n"/>
      <c r="R75" s="1" t="n"/>
      <c r="S75" s="1" t="n"/>
      <c r="T75" s="1" t="n"/>
      <c r="U75" s="1" t="n"/>
      <c r="V75" s="1" t="n"/>
      <c r="W75" s="1" t="n"/>
      <c r="X75" s="1" t="n"/>
      <c r="Y75" s="1" t="n"/>
      <c r="Z75" s="1" t="n"/>
      <c r="AA75" s="1" t="n"/>
    </row>
    <row r="76" ht="14.25" customHeight="1" s="118">
      <c r="A76" s="26" t="n">
        <v>72</v>
      </c>
      <c r="B76" s="27" t="inlineStr">
        <is>
          <t>Lane safety guard &amp; pickup preemption</t>
        </is>
      </c>
      <c r="C76" s="59" t="inlineStr">
        <is>
          <t>Non-UI</t>
        </is>
      </c>
      <c r="D76" s="30" t="inlineStr">
        <is>
          <t>FE-04: Dispatch Orchestration &amp; Release Control</t>
        </is>
      </c>
      <c r="E76" s="31" t="inlineStr">
        <is>
          <t>Release Control</t>
        </is>
      </c>
      <c r="F76" s="30" t="inlineStr">
        <is>
          <t>Runs when a new cargo is registered, before it is accepted. Finds every active cargo deeper in the same pickup lane whose task already reached PICKING_UP, and reads the resources the FMS scheduler has allocated to each of those vehicles. A vehicle already allocated into the lane cannot be recalled without being trapped, so the registration is rejected (MSG-28); otherwise the deeper tasks are preempted - pickup order withdrawn gracefully, assignment cleared, task back to BLOCKED with the preemption recorded.</t>
        </is>
      </c>
      <c r="G76" s="63" t="inlineStr">
        <is>
          <t>Complex</t>
        </is>
      </c>
      <c r="H76" s="76" t="n">
        <v>8</v>
      </c>
      <c r="I76" s="72" t="inlineStr">
        <is>
          <t>Iteration 3</t>
        </is>
      </c>
      <c r="J76" s="74" t="inlineStr">
        <is>
          <t>HungPV</t>
        </is>
      </c>
      <c r="K76" s="74" t="n"/>
      <c r="L76" s="67" t="inlineStr">
        <is>
          <t>Done</t>
        </is>
      </c>
      <c r="M76" s="74" t="n"/>
      <c r="N76" s="1" t="n"/>
      <c r="O76" s="1" t="n"/>
      <c r="P76" s="1" t="n"/>
      <c r="Q76" s="1" t="n"/>
      <c r="R76" s="1" t="n"/>
      <c r="S76" s="1" t="n"/>
      <c r="T76" s="1" t="n"/>
      <c r="U76" s="1" t="n"/>
      <c r="V76" s="1" t="n"/>
      <c r="W76" s="1" t="n"/>
      <c r="X76" s="1" t="n"/>
      <c r="Y76" s="1" t="n"/>
      <c r="Z76" s="1" t="n"/>
      <c r="AA76" s="1" t="n"/>
    </row>
    <row r="77" ht="14.25" customHeight="1" s="118">
      <c r="A77" s="26" t="n">
        <v>73</v>
      </c>
      <c r="B77" s="27" t="inlineStr">
        <is>
          <t>Dispatch counterfactual recorder</t>
        </is>
      </c>
      <c r="C77" s="59" t="inlineStr">
        <is>
          <t>Non-UI</t>
        </is>
      </c>
      <c r="D77" s="30" t="inlineStr">
        <is>
          <t>FE-04: Dispatch Orchestration &amp; Release Control</t>
        </is>
      </c>
      <c r="E77" s="31" t="inlineStr">
        <is>
          <t>Assignment Logic</t>
        </is>
      </c>
      <c r="F77" s="30" t="inlineStr">
        <is>
          <t>Every dispatch flush solves the same cost matrix twice - Hungarian and greedy - dispatches the matcher selected by DISPATCH_MATCHER and records the other plan on the task status transition (matcher, batch size, alternative vehicle, alternative distance). Because both plans come from one identical matrix the comparison is paired, so run-to-run load variance cancels and every production run carries its own matcher evidence.</t>
        </is>
      </c>
      <c r="G77" s="63" t="inlineStr">
        <is>
          <t>Medium</t>
        </is>
      </c>
      <c r="H77" s="76" t="n">
        <v>5</v>
      </c>
      <c r="I77" s="72" t="inlineStr">
        <is>
          <t>Iteration 3</t>
        </is>
      </c>
      <c r="J77" s="74" t="inlineStr">
        <is>
          <t>DucNH</t>
        </is>
      </c>
      <c r="K77" s="74" t="n"/>
      <c r="L77" s="67" t="inlineStr">
        <is>
          <t>Done</t>
        </is>
      </c>
      <c r="M77" s="74" t="n"/>
      <c r="N77" s="1" t="n"/>
      <c r="O77" s="1" t="n"/>
      <c r="P77" s="1" t="n"/>
      <c r="Q77" s="1" t="n"/>
      <c r="R77" s="1" t="n"/>
      <c r="S77" s="1" t="n"/>
      <c r="T77" s="1" t="n"/>
      <c r="U77" s="1" t="n"/>
      <c r="V77" s="1" t="n"/>
      <c r="W77" s="1" t="n"/>
      <c r="X77" s="1" t="n"/>
      <c r="Y77" s="1" t="n"/>
      <c r="Z77" s="1" t="n"/>
      <c r="AA77" s="1" t="n"/>
    </row>
    <row r="78" ht="14.25" customHeight="1" s="118">
      <c r="A78" s="26" t="n">
        <v>74</v>
      </c>
      <c r="B78" s="27" t="inlineStr">
        <is>
          <t>Pickup Swap (vehicle handover)</t>
        </is>
      </c>
      <c r="C78" s="59" t="inlineStr">
        <is>
          <t>Non-UI</t>
        </is>
      </c>
      <c r="D78" s="30" t="inlineStr">
        <is>
          <t>FE-04: Dispatch Orchestration &amp; Release Control</t>
        </is>
      </c>
      <c r="E78" s="31" t="inlineStr">
        <is>
          <t>Assignment Logic</t>
        </is>
      </c>
      <c r="F78" s="30" t="inlineStr">
        <is>
          <t>When a flush finds a materially better vehicle for a task already in PICKING_UP, withdraws its pickup order gracefully, returns the task to READY_TO_ASSIGN with the handover counted on the task metadata, and re-issues it to the new vehicle in the same flush. Gated by an environment switch so the churn it creates can be turned off and measured.</t>
        </is>
      </c>
      <c r="G78" s="63" t="inlineStr">
        <is>
          <t>Medium</t>
        </is>
      </c>
      <c r="H78" s="76" t="n">
        <v>5</v>
      </c>
      <c r="I78" s="72" t="inlineStr">
        <is>
          <t>Iteration 3</t>
        </is>
      </c>
      <c r="J78" s="74" t="inlineStr">
        <is>
          <t>DucNH</t>
        </is>
      </c>
      <c r="K78" s="74" t="n"/>
      <c r="L78" s="67" t="inlineStr">
        <is>
          <t>Done</t>
        </is>
      </c>
      <c r="M78" s="74" t="n"/>
      <c r="N78" s="1" t="n"/>
      <c r="O78" s="1" t="n"/>
      <c r="P78" s="1" t="n"/>
      <c r="Q78" s="1" t="n"/>
      <c r="R78" s="1" t="n"/>
      <c r="S78" s="1" t="n"/>
      <c r="T78" s="1" t="n"/>
      <c r="U78" s="1" t="n"/>
      <c r="V78" s="1" t="n"/>
      <c r="W78" s="1" t="n"/>
      <c r="X78" s="1" t="n"/>
      <c r="Y78" s="1" t="n"/>
      <c r="Z78" s="1" t="n"/>
      <c r="AA78" s="1" t="n"/>
    </row>
    <row r="79" ht="15.75" customHeight="1" s="118">
      <c r="A79" s="26" t="n">
        <v>75</v>
      </c>
      <c r="B79" s="27" t="inlineStr">
        <is>
          <t>View traffic congestion alerts</t>
        </is>
      </c>
      <c r="C79" s="29" t="inlineStr">
        <is>
          <t>Screen</t>
        </is>
      </c>
      <c r="D79" s="30" t="inlineStr">
        <is>
          <t>FE-05: Operational Monitoring Dashboard</t>
        </is>
      </c>
      <c r="E79" s="31" t="inlineStr">
        <is>
          <t>Anomaly Detection</t>
        </is>
      </c>
      <c r="F79" s="30" t="inlineStr">
        <is>
          <t>Dashboard alert indicating a traffic jam in a block/path.</t>
        </is>
      </c>
      <c r="G79" s="71" t="inlineStr">
        <is>
          <t>Complex</t>
        </is>
      </c>
      <c r="H79" s="76" t="n">
        <v>8</v>
      </c>
      <c r="I79" s="69" t="inlineStr">
        <is>
          <t>Iteration 2</t>
        </is>
      </c>
      <c r="J79" s="74" t="inlineStr">
        <is>
          <t>DucNH</t>
        </is>
      </c>
      <c r="K79" s="74" t="n"/>
      <c r="L79" s="70" t="inlineStr">
        <is>
          <t>Cancelled</t>
        </is>
      </c>
      <c r="M79" s="74" t="n"/>
      <c r="N79" s="1" t="n"/>
      <c r="O79" s="1" t="n"/>
      <c r="P79" s="1" t="n"/>
      <c r="Q79" s="1" t="n"/>
      <c r="R79" s="1" t="n"/>
      <c r="S79" s="1" t="n"/>
      <c r="T79" s="1" t="n"/>
      <c r="U79" s="1" t="n"/>
      <c r="V79" s="1" t="n"/>
      <c r="W79" s="1" t="n"/>
      <c r="X79" s="1" t="n"/>
      <c r="Y79" s="1" t="n"/>
      <c r="Z79" s="1" t="n"/>
      <c r="AA79" s="1" t="n"/>
    </row>
    <row r="80" ht="15.75" customHeight="1" s="118">
      <c r="A80" s="40" t="n">
        <v>76</v>
      </c>
      <c r="B80" s="27" t="inlineStr">
        <is>
          <t>View deadlock risk alerts</t>
        </is>
      </c>
      <c r="C80" s="29" t="inlineStr">
        <is>
          <t>Screen</t>
        </is>
      </c>
      <c r="D80" s="30" t="inlineStr">
        <is>
          <t>FE-05: Operational Monitoring Dashboard</t>
        </is>
      </c>
      <c r="E80" s="31" t="inlineStr">
        <is>
          <t>Anomaly Detection</t>
        </is>
      </c>
      <c r="F80" s="30" t="inlineStr">
        <is>
          <t>Dashboard alert indicating potential AGV deadlocks.</t>
        </is>
      </c>
      <c r="G80" s="71" t="inlineStr">
        <is>
          <t>Complex</t>
        </is>
      </c>
      <c r="H80" s="76" t="n">
        <v>8</v>
      </c>
      <c r="I80" s="69" t="inlineStr">
        <is>
          <t>Iteration 2</t>
        </is>
      </c>
      <c r="J80" s="74" t="inlineStr">
        <is>
          <t>DucNH</t>
        </is>
      </c>
      <c r="K80" s="74" t="n"/>
      <c r="L80" s="70" t="inlineStr">
        <is>
          <t>Done</t>
        </is>
      </c>
      <c r="M80" s="74" t="n"/>
      <c r="N80" s="1" t="n"/>
      <c r="O80" s="1" t="n"/>
      <c r="P80" s="1" t="n"/>
      <c r="Q80" s="1" t="n"/>
      <c r="R80" s="1" t="n"/>
      <c r="S80" s="1" t="n"/>
      <c r="T80" s="1" t="n"/>
      <c r="U80" s="1" t="n"/>
      <c r="V80" s="1" t="n"/>
      <c r="W80" s="1" t="n"/>
      <c r="X80" s="1" t="n"/>
      <c r="Y80" s="1" t="n"/>
      <c r="Z80" s="1" t="n"/>
      <c r="AA80" s="1" t="n"/>
    </row>
    <row r="81" ht="15.75" customHeight="1" s="118">
      <c r="A81" s="26" t="n">
        <v>77</v>
      </c>
      <c r="B81" s="27" t="inlineStr">
        <is>
          <t>View projected AGV route</t>
        </is>
      </c>
      <c r="C81" s="29" t="inlineStr">
        <is>
          <t>Screen</t>
        </is>
      </c>
      <c r="D81" s="30" t="inlineStr">
        <is>
          <t>FE-05: Operational Monitoring Dashboard</t>
        </is>
      </c>
      <c r="E81" s="31" t="inlineStr">
        <is>
          <t>Real-time Dashboard</t>
        </is>
      </c>
      <c r="F81" s="30" t="inlineStr">
        <is>
          <t>Visualize the planned pathing array for an AGV on the map.</t>
        </is>
      </c>
      <c r="G81" s="71" t="inlineStr">
        <is>
          <t>Complex</t>
        </is>
      </c>
      <c r="H81" s="76" t="n">
        <v>8</v>
      </c>
      <c r="I81" s="69" t="inlineStr">
        <is>
          <t>Iteration 2</t>
        </is>
      </c>
      <c r="J81" s="74" t="inlineStr">
        <is>
          <t>DucNH</t>
        </is>
      </c>
      <c r="K81" s="74" t="n"/>
      <c r="L81" s="70" t="inlineStr">
        <is>
          <t>Done</t>
        </is>
      </c>
      <c r="M81" s="74" t="n"/>
      <c r="N81" s="1" t="n"/>
      <c r="O81" s="1" t="n"/>
      <c r="P81" s="1" t="n"/>
      <c r="Q81" s="1" t="n"/>
      <c r="R81" s="1" t="n"/>
      <c r="S81" s="1" t="n"/>
      <c r="T81" s="1" t="n"/>
      <c r="U81" s="1" t="n"/>
      <c r="V81" s="1" t="n"/>
      <c r="W81" s="1" t="n"/>
      <c r="X81" s="1" t="n"/>
      <c r="Y81" s="1" t="n"/>
      <c r="Z81" s="1" t="n"/>
      <c r="AA81" s="1" t="n"/>
    </row>
    <row r="82" ht="15.75" customHeight="1" s="118">
      <c r="A82" s="40" t="n">
        <v>78</v>
      </c>
      <c r="B82" s="27" t="inlineStr">
        <is>
          <t>View overall operation dashboard</t>
        </is>
      </c>
      <c r="C82" s="29" t="inlineStr">
        <is>
          <t>Screen</t>
        </is>
      </c>
      <c r="D82" s="30" t="inlineStr">
        <is>
          <t>FE-05: Operational Monitoring Dashboard</t>
        </is>
      </c>
      <c r="E82" s="31" t="inlineStr">
        <is>
          <t>Real-time Dashboard</t>
        </is>
      </c>
      <c r="F82" s="30" t="inlineStr">
        <is>
          <t>High-level overview of system health and active operations.</t>
        </is>
      </c>
      <c r="G82" s="71" t="inlineStr">
        <is>
          <t>Complex</t>
        </is>
      </c>
      <c r="H82" s="76" t="n">
        <v>8</v>
      </c>
      <c r="I82" s="69" t="inlineStr">
        <is>
          <t>Iteration 2</t>
        </is>
      </c>
      <c r="J82" s="74" t="inlineStr">
        <is>
          <t>DucNH</t>
        </is>
      </c>
      <c r="K82" s="74" t="n"/>
      <c r="L82" s="67" t="inlineStr">
        <is>
          <t>Done</t>
        </is>
      </c>
      <c r="M82" s="74" t="n"/>
      <c r="N82" s="1" t="n"/>
      <c r="O82" s="1" t="n"/>
      <c r="P82" s="1" t="n"/>
      <c r="Q82" s="1" t="n"/>
      <c r="R82" s="1" t="n"/>
      <c r="S82" s="1" t="n"/>
      <c r="T82" s="1" t="n"/>
      <c r="U82" s="1" t="n"/>
      <c r="V82" s="1" t="n"/>
      <c r="W82" s="1" t="n"/>
      <c r="X82" s="1" t="n"/>
      <c r="Y82" s="1" t="n"/>
      <c r="Z82" s="1" t="n"/>
      <c r="AA82" s="1" t="n"/>
    </row>
    <row r="83" ht="15.75" customHeight="1" s="118">
      <c r="A83" s="26" t="n">
        <v>79</v>
      </c>
      <c r="B83" s="27" t="inlineStr">
        <is>
          <t>View real-time operation map</t>
        </is>
      </c>
      <c r="C83" s="29" t="inlineStr">
        <is>
          <t>Screen</t>
        </is>
      </c>
      <c r="D83" s="30" t="inlineStr">
        <is>
          <t>FE-05: Operational Monitoring Dashboard</t>
        </is>
      </c>
      <c r="E83" s="31" t="inlineStr">
        <is>
          <t>Real-time Dashboard</t>
        </is>
      </c>
      <c r="F83" s="30" t="inlineStr">
        <is>
          <t>2D canvas displaying the layout, topology, and active grids.</t>
        </is>
      </c>
      <c r="G83" s="71" t="inlineStr">
        <is>
          <t>Complex</t>
        </is>
      </c>
      <c r="H83" s="76" t="n">
        <v>8</v>
      </c>
      <c r="I83" s="69" t="inlineStr">
        <is>
          <t>Iteration 2</t>
        </is>
      </c>
      <c r="J83" s="74" t="inlineStr">
        <is>
          <t>DucNH</t>
        </is>
      </c>
      <c r="K83" s="74" t="n"/>
      <c r="L83" s="67" t="inlineStr">
        <is>
          <t>Done</t>
        </is>
      </c>
      <c r="M83" s="74" t="n"/>
      <c r="N83" s="1" t="n"/>
      <c r="O83" s="1" t="n"/>
      <c r="P83" s="1" t="n"/>
      <c r="Q83" s="1" t="n"/>
      <c r="R83" s="1" t="n"/>
      <c r="S83" s="1" t="n"/>
      <c r="T83" s="1" t="n"/>
      <c r="U83" s="1" t="n"/>
      <c r="V83" s="1" t="n"/>
      <c r="W83" s="1" t="n"/>
      <c r="X83" s="1" t="n"/>
      <c r="Y83" s="1" t="n"/>
      <c r="Z83" s="1" t="n"/>
      <c r="AA83" s="1" t="n"/>
    </row>
    <row r="84" ht="15.75" customHeight="1" s="118">
      <c r="A84" s="40" t="n">
        <v>80</v>
      </c>
      <c r="B84" s="27" t="inlineStr">
        <is>
          <t>View AGV live preview on map</t>
        </is>
      </c>
      <c r="C84" s="29" t="inlineStr">
        <is>
          <t>Screen</t>
        </is>
      </c>
      <c r="D84" s="30" t="inlineStr">
        <is>
          <t>FE-05: Operational Monitoring Dashboard</t>
        </is>
      </c>
      <c r="E84" s="31" t="inlineStr">
        <is>
          <t>Real-time Dashboard</t>
        </is>
      </c>
      <c r="F84" s="30" t="inlineStr">
        <is>
          <t>Real-time positional tracking of AGVs on the operation map.</t>
        </is>
      </c>
      <c r="G84" s="71" t="inlineStr">
        <is>
          <t>Complex</t>
        </is>
      </c>
      <c r="H84" s="76" t="n">
        <v>8</v>
      </c>
      <c r="I84" s="69" t="inlineStr">
        <is>
          <t>Iteration 2</t>
        </is>
      </c>
      <c r="J84" s="74" t="inlineStr">
        <is>
          <t>DucNH</t>
        </is>
      </c>
      <c r="K84" s="74" t="n"/>
      <c r="L84" s="67" t="inlineStr">
        <is>
          <t>Done</t>
        </is>
      </c>
      <c r="M84" s="74" t="n"/>
      <c r="N84" s="1" t="n"/>
      <c r="O84" s="1" t="n"/>
      <c r="P84" s="1" t="n"/>
      <c r="Q84" s="1" t="n"/>
      <c r="R84" s="1" t="n"/>
      <c r="S84" s="1" t="n"/>
      <c r="T84" s="1" t="n"/>
      <c r="U84" s="1" t="n"/>
      <c r="V84" s="1" t="n"/>
      <c r="W84" s="1" t="n"/>
      <c r="X84" s="1" t="n"/>
      <c r="Y84" s="1" t="n"/>
      <c r="Z84" s="1" t="n"/>
      <c r="AA84" s="1" t="n"/>
    </row>
    <row r="85" ht="15.75" customHeight="1" s="118">
      <c r="A85" s="26" t="n">
        <v>81</v>
      </c>
      <c r="B85" s="27" t="inlineStr">
        <is>
          <t>View completed requests KPI</t>
        </is>
      </c>
      <c r="C85" s="29" t="inlineStr">
        <is>
          <t>Screen</t>
        </is>
      </c>
      <c r="D85" s="30" t="inlineStr">
        <is>
          <t>FE-05: Operational Monitoring Dashboard</t>
        </is>
      </c>
      <c r="E85" s="31" t="inlineStr">
        <is>
          <t>KPI Metrics</t>
        </is>
      </c>
      <c r="F85" s="30" t="inlineStr">
        <is>
          <t>Chart/metric showing total completed tasks over time.</t>
        </is>
      </c>
      <c r="G85" s="63" t="inlineStr">
        <is>
          <t>Medium</t>
        </is>
      </c>
      <c r="H85" s="76" t="n">
        <v>5</v>
      </c>
      <c r="I85" s="72" t="inlineStr">
        <is>
          <t>Iteration 3</t>
        </is>
      </c>
      <c r="J85" s="74" t="inlineStr">
        <is>
          <t>DucNH</t>
        </is>
      </c>
      <c r="K85" s="74" t="n"/>
      <c r="L85" s="67" t="inlineStr">
        <is>
          <t>Done</t>
        </is>
      </c>
      <c r="M85" s="74" t="n"/>
      <c r="N85" s="1" t="n"/>
      <c r="O85" s="1" t="n"/>
      <c r="P85" s="1" t="n"/>
      <c r="Q85" s="1" t="n"/>
      <c r="R85" s="1" t="n"/>
      <c r="S85" s="1" t="n"/>
      <c r="T85" s="1" t="n"/>
      <c r="U85" s="1" t="n"/>
      <c r="V85" s="1" t="n"/>
      <c r="W85" s="1" t="n"/>
      <c r="X85" s="1" t="n"/>
      <c r="Y85" s="1" t="n"/>
      <c r="Z85" s="1" t="n"/>
      <c r="AA85" s="1" t="n"/>
    </row>
    <row r="86" ht="15.75" customHeight="1" s="118">
      <c r="A86" s="40" t="n">
        <v>82</v>
      </c>
      <c r="B86" s="27" t="inlineStr">
        <is>
          <t>View average transport time KPI</t>
        </is>
      </c>
      <c r="C86" s="29" t="inlineStr">
        <is>
          <t>Screen</t>
        </is>
      </c>
      <c r="D86" s="30" t="inlineStr">
        <is>
          <t>FE-05: Operational Monitoring Dashboard</t>
        </is>
      </c>
      <c r="E86" s="31" t="inlineStr">
        <is>
          <t>KPI Metrics</t>
        </is>
      </c>
      <c r="F86" s="30" t="inlineStr">
        <is>
          <t>Chart/metric showing average end-to-end task completion time.</t>
        </is>
      </c>
      <c r="G86" s="63" t="inlineStr">
        <is>
          <t>Medium</t>
        </is>
      </c>
      <c r="H86" s="76" t="n">
        <v>5</v>
      </c>
      <c r="I86" s="72" t="inlineStr">
        <is>
          <t>Iteration 3</t>
        </is>
      </c>
      <c r="J86" s="74" t="inlineStr">
        <is>
          <t>DucNH</t>
        </is>
      </c>
      <c r="K86" s="74" t="n"/>
      <c r="L86" s="67" t="inlineStr">
        <is>
          <t>Done</t>
        </is>
      </c>
      <c r="M86" s="74" t="n"/>
      <c r="N86" s="1" t="n"/>
      <c r="O86" s="1" t="n"/>
      <c r="P86" s="1" t="n"/>
      <c r="Q86" s="1" t="n"/>
      <c r="R86" s="1" t="n"/>
      <c r="S86" s="1" t="n"/>
      <c r="T86" s="1" t="n"/>
      <c r="U86" s="1" t="n"/>
      <c r="V86" s="1" t="n"/>
      <c r="W86" s="1" t="n"/>
      <c r="X86" s="1" t="n"/>
      <c r="Y86" s="1" t="n"/>
      <c r="Z86" s="1" t="n"/>
      <c r="AA86" s="1" t="n"/>
    </row>
    <row r="87" ht="15.75" customHeight="1" s="118">
      <c r="A87" s="26" t="n">
        <v>83</v>
      </c>
      <c r="B87" s="27" t="inlineStr">
        <is>
          <t>View AGV utilization rate KPI</t>
        </is>
      </c>
      <c r="C87" s="29" t="inlineStr">
        <is>
          <t>Screen</t>
        </is>
      </c>
      <c r="D87" s="30" t="inlineStr">
        <is>
          <t>FE-05: Operational Monitoring Dashboard</t>
        </is>
      </c>
      <c r="E87" s="31" t="inlineStr">
        <is>
          <t>KPI Metrics</t>
        </is>
      </c>
      <c r="F87" s="30" t="inlineStr">
        <is>
          <t>Chart/metric showing the percentage of time AGVs are active.</t>
        </is>
      </c>
      <c r="G87" s="63" t="inlineStr">
        <is>
          <t>Medium</t>
        </is>
      </c>
      <c r="H87" s="76" t="n">
        <v>5</v>
      </c>
      <c r="I87" s="72" t="inlineStr">
        <is>
          <t>Iteration 3</t>
        </is>
      </c>
      <c r="J87" s="74" t="inlineStr">
        <is>
          <t>DucNH</t>
        </is>
      </c>
      <c r="K87" s="74" t="n"/>
      <c r="L87" s="70" t="inlineStr">
        <is>
          <t>Done</t>
        </is>
      </c>
      <c r="M87" s="74" t="n"/>
      <c r="N87" s="1" t="n"/>
      <c r="O87" s="1" t="n"/>
      <c r="P87" s="1" t="n"/>
      <c r="Q87" s="1" t="n"/>
      <c r="R87" s="1" t="n"/>
      <c r="S87" s="1" t="n"/>
      <c r="T87" s="1" t="n"/>
      <c r="U87" s="1" t="n"/>
      <c r="V87" s="1" t="n"/>
      <c r="W87" s="1" t="n"/>
      <c r="X87" s="1" t="n"/>
      <c r="Y87" s="1" t="n"/>
      <c r="Z87" s="1" t="n"/>
      <c r="AA87" s="1" t="n"/>
    </row>
    <row r="88" ht="15.75" customHeight="1" s="118">
      <c r="A88" s="40" t="n">
        <v>84</v>
      </c>
      <c r="B88" s="27" t="inlineStr">
        <is>
          <t>View active AGVs count KPI</t>
        </is>
      </c>
      <c r="C88" s="29" t="inlineStr">
        <is>
          <t>Screen</t>
        </is>
      </c>
      <c r="D88" s="30" t="inlineStr">
        <is>
          <t>FE-05: Operational Monitoring Dashboard</t>
        </is>
      </c>
      <c r="E88" s="31" t="inlineStr">
        <is>
          <t>KPI Metrics</t>
        </is>
      </c>
      <c r="F88" s="30" t="inlineStr">
        <is>
          <t>Simple counter of currently online and operating AGVs.</t>
        </is>
      </c>
      <c r="G88" s="68" t="inlineStr">
        <is>
          <t>Simple</t>
        </is>
      </c>
      <c r="H88" s="76" t="n">
        <v>3</v>
      </c>
      <c r="I88" s="72" t="inlineStr">
        <is>
          <t>Iteration 3</t>
        </is>
      </c>
      <c r="J88" s="74" t="inlineStr">
        <is>
          <t>DucNH</t>
        </is>
      </c>
      <c r="K88" s="74" t="n"/>
      <c r="L88" s="67" t="inlineStr">
        <is>
          <t>Done</t>
        </is>
      </c>
      <c r="M88" s="74" t="n"/>
      <c r="N88" s="1" t="n"/>
      <c r="O88" s="1" t="n"/>
      <c r="P88" s="1" t="n"/>
      <c r="Q88" s="1" t="n"/>
      <c r="R88" s="1" t="n"/>
      <c r="S88" s="1" t="n"/>
      <c r="T88" s="1" t="n"/>
      <c r="U88" s="1" t="n"/>
      <c r="V88" s="1" t="n"/>
      <c r="W88" s="1" t="n"/>
      <c r="X88" s="1" t="n"/>
      <c r="Y88" s="1" t="n"/>
      <c r="Z88" s="1" t="n"/>
      <c r="AA88" s="1" t="n"/>
    </row>
    <row r="89" ht="15.75" customHeight="1" s="118">
      <c r="A89" s="26" t="n">
        <v>85</v>
      </c>
      <c r="B89" s="27" t="inlineStr">
        <is>
          <t>View transport request fail rate KPI</t>
        </is>
      </c>
      <c r="C89" s="29" t="inlineStr">
        <is>
          <t>Screen</t>
        </is>
      </c>
      <c r="D89" s="30" t="inlineStr">
        <is>
          <t>FE-05: Operational Monitoring Dashboard</t>
        </is>
      </c>
      <c r="E89" s="31" t="inlineStr">
        <is>
          <t>KPI Metrics</t>
        </is>
      </c>
      <c r="F89" s="30" t="inlineStr">
        <is>
          <t>Chart/metric calculating the percentage of failed tasks.</t>
        </is>
      </c>
      <c r="G89" s="63" t="inlineStr">
        <is>
          <t>Medium</t>
        </is>
      </c>
      <c r="H89" s="76" t="n">
        <v>5</v>
      </c>
      <c r="I89" s="72" t="inlineStr">
        <is>
          <t>Iteration 3</t>
        </is>
      </c>
      <c r="J89" s="74" t="inlineStr">
        <is>
          <t>DucNH</t>
        </is>
      </c>
      <c r="K89" s="74" t="n"/>
      <c r="L89" s="67" t="inlineStr">
        <is>
          <t>Done</t>
        </is>
      </c>
      <c r="M89" s="74" t="n"/>
      <c r="N89" s="1" t="n"/>
      <c r="O89" s="1" t="n"/>
      <c r="P89" s="1" t="n"/>
      <c r="Q89" s="1" t="n"/>
      <c r="R89" s="1" t="n"/>
      <c r="S89" s="1" t="n"/>
      <c r="T89" s="1" t="n"/>
      <c r="U89" s="1" t="n"/>
      <c r="V89" s="1" t="n"/>
      <c r="W89" s="1" t="n"/>
      <c r="X89" s="1" t="n"/>
      <c r="Y89" s="1" t="n"/>
      <c r="Z89" s="1" t="n"/>
      <c r="AA89" s="1" t="n"/>
    </row>
    <row r="90" ht="15.75" customHeight="1" s="118">
      <c r="A90" s="40" t="n">
        <v>86</v>
      </c>
      <c r="B90" s="27" t="inlineStr">
        <is>
          <t>View average AGV assignment wait time KPI</t>
        </is>
      </c>
      <c r="C90" s="29" t="inlineStr">
        <is>
          <t>Screen</t>
        </is>
      </c>
      <c r="D90" s="30" t="inlineStr">
        <is>
          <t>FE-05: Operational Monitoring Dashboard</t>
        </is>
      </c>
      <c r="E90" s="31" t="inlineStr">
        <is>
          <t>KPI Metrics</t>
        </is>
      </c>
      <c r="F90" s="30" t="inlineStr">
        <is>
          <t>Chart/metric showing average time a task waits in queue.</t>
        </is>
      </c>
      <c r="G90" s="63" t="inlineStr">
        <is>
          <t>Medium</t>
        </is>
      </c>
      <c r="H90" s="76" t="n">
        <v>5</v>
      </c>
      <c r="I90" s="72" t="inlineStr">
        <is>
          <t>Iteration 3</t>
        </is>
      </c>
      <c r="J90" s="74" t="inlineStr">
        <is>
          <t>DucNH</t>
        </is>
      </c>
      <c r="K90" s="74" t="n"/>
      <c r="L90" s="67" t="inlineStr">
        <is>
          <t>Done</t>
        </is>
      </c>
      <c r="M90" s="74" t="n"/>
      <c r="N90" s="1" t="n"/>
      <c r="O90" s="1" t="n"/>
      <c r="P90" s="1" t="n"/>
      <c r="Q90" s="1" t="n"/>
      <c r="R90" s="1" t="n"/>
      <c r="S90" s="1" t="n"/>
      <c r="T90" s="1" t="n"/>
      <c r="U90" s="1" t="n"/>
      <c r="V90" s="1" t="n"/>
      <c r="W90" s="1" t="n"/>
      <c r="X90" s="1" t="n"/>
      <c r="Y90" s="1" t="n"/>
      <c r="Z90" s="1" t="n"/>
      <c r="AA90" s="1" t="n"/>
    </row>
    <row r="91" ht="15.75" customHeight="1" s="118">
      <c r="A91" s="26" t="n">
        <v>87</v>
      </c>
      <c r="B91" s="27" t="inlineStr">
        <is>
          <t>View throughput by time frame KPI</t>
        </is>
      </c>
      <c r="C91" s="29" t="inlineStr">
        <is>
          <t>Screen</t>
        </is>
      </c>
      <c r="D91" s="30" t="inlineStr">
        <is>
          <t>FE-05: Operational Monitoring Dashboard</t>
        </is>
      </c>
      <c r="E91" s="31" t="inlineStr">
        <is>
          <t>KPI Metrics</t>
        </is>
      </c>
      <c r="F91" s="30" t="inlineStr">
        <is>
          <t>Chart showing task completion volume segmented by hours/shifts.</t>
        </is>
      </c>
      <c r="G91" s="63" t="inlineStr">
        <is>
          <t>Medium</t>
        </is>
      </c>
      <c r="H91" s="76" t="n">
        <v>5</v>
      </c>
      <c r="I91" s="72" t="inlineStr">
        <is>
          <t>Iteration 3</t>
        </is>
      </c>
      <c r="J91" s="74" t="inlineStr">
        <is>
          <t>DucNH</t>
        </is>
      </c>
      <c r="K91" s="74" t="n"/>
      <c r="L91" s="67" t="inlineStr">
        <is>
          <t>Done</t>
        </is>
      </c>
      <c r="M91" s="74" t="n"/>
      <c r="N91" s="1" t="n"/>
      <c r="O91" s="1" t="n"/>
      <c r="P91" s="1" t="n"/>
      <c r="Q91" s="1" t="n"/>
      <c r="R91" s="1" t="n"/>
      <c r="S91" s="1" t="n"/>
      <c r="T91" s="1" t="n"/>
      <c r="U91" s="1" t="n"/>
      <c r="V91" s="1" t="n"/>
      <c r="W91" s="1" t="n"/>
      <c r="X91" s="1" t="n"/>
      <c r="Y91" s="1" t="n"/>
      <c r="Z91" s="1" t="n"/>
      <c r="AA91" s="1" t="n"/>
    </row>
    <row r="92" ht="15.75" customHeight="1" s="118">
      <c r="A92" s="40" t="n">
        <v>88</v>
      </c>
      <c r="B92" s="27" t="inlineStr">
        <is>
          <t>View list of congested areas or hotspots</t>
        </is>
      </c>
      <c r="C92" s="29" t="inlineStr">
        <is>
          <t>Screen</t>
        </is>
      </c>
      <c r="D92" s="30" t="inlineStr">
        <is>
          <t>FE-05: Operational Monitoring Dashboard</t>
        </is>
      </c>
      <c r="E92" s="31" t="inlineStr">
        <is>
          <t>Anomaly Detection</t>
        </is>
      </c>
      <c r="F92" s="30" t="inlineStr">
        <is>
          <t>Heatmap or list of layout areas with frequent slowdowns, including the live congestion alert for a block or path (merged UC 67).</t>
        </is>
      </c>
      <c r="G92" s="63" t="inlineStr">
        <is>
          <t>Medium</t>
        </is>
      </c>
      <c r="H92" s="76" t="n">
        <v>5</v>
      </c>
      <c r="I92" s="72" t="inlineStr">
        <is>
          <t>Iteration 3</t>
        </is>
      </c>
      <c r="J92" s="74" t="inlineStr">
        <is>
          <t>DucNH</t>
        </is>
      </c>
      <c r="K92" s="74" t="n"/>
      <c r="L92" s="70" t="inlineStr">
        <is>
          <t>Done</t>
        </is>
      </c>
      <c r="M92" s="74" t="n"/>
      <c r="N92" s="1" t="n"/>
      <c r="O92" s="1" t="n"/>
      <c r="P92" s="1" t="n"/>
      <c r="Q92" s="1" t="n"/>
      <c r="R92" s="1" t="n"/>
      <c r="S92" s="1" t="n"/>
      <c r="T92" s="1" t="n"/>
      <c r="U92" s="1" t="n"/>
      <c r="V92" s="1" t="n"/>
      <c r="W92" s="1" t="n"/>
      <c r="X92" s="1" t="n"/>
      <c r="Y92" s="1" t="n"/>
      <c r="Z92" s="1" t="n"/>
      <c r="AA92" s="1" t="n"/>
    </row>
    <row r="93" ht="15.75" customHeight="1" s="118">
      <c r="A93" s="26" t="n">
        <v>89</v>
      </c>
      <c r="B93" s="27" t="inlineStr">
        <is>
          <t>View list of AGVs with high error frequency</t>
        </is>
      </c>
      <c r="C93" s="29" t="inlineStr">
        <is>
          <t>Screen</t>
        </is>
      </c>
      <c r="D93" s="30" t="inlineStr">
        <is>
          <t>FE-05: Operational Monitoring Dashboard</t>
        </is>
      </c>
      <c r="E93" s="31" t="inlineStr">
        <is>
          <t>Anomaly Detection</t>
        </is>
      </c>
      <c r="F93" s="30" t="inlineStr">
        <is>
          <t>Highlight specific vehicles that repeatedly fail or trigger errors.</t>
        </is>
      </c>
      <c r="G93" s="63" t="inlineStr">
        <is>
          <t>Medium</t>
        </is>
      </c>
      <c r="H93" s="76" t="n">
        <v>5</v>
      </c>
      <c r="I93" s="72" t="inlineStr">
        <is>
          <t>Iteration 3</t>
        </is>
      </c>
      <c r="J93" s="74" t="inlineStr">
        <is>
          <t>DucNH</t>
        </is>
      </c>
      <c r="K93" s="74" t="n"/>
      <c r="L93" s="38" t="inlineStr">
        <is>
          <t>Done</t>
        </is>
      </c>
      <c r="M93" s="74" t="n"/>
      <c r="N93" s="1" t="n"/>
      <c r="O93" s="1" t="n"/>
      <c r="P93" s="1" t="n"/>
      <c r="Q93" s="1" t="n"/>
      <c r="R93" s="1" t="n"/>
      <c r="S93" s="1" t="n"/>
      <c r="T93" s="1" t="n"/>
      <c r="U93" s="1" t="n"/>
      <c r="V93" s="1" t="n"/>
      <c r="W93" s="1" t="n"/>
      <c r="X93" s="1" t="n"/>
      <c r="Y93" s="1" t="n"/>
      <c r="Z93" s="1" t="n"/>
      <c r="AA93" s="1" t="n"/>
    </row>
    <row r="94" ht="14.25" customHeight="1" s="118">
      <c r="A94" s="26" t="n">
        <v>90</v>
      </c>
      <c r="B94" s="27" t="inlineStr">
        <is>
          <t>KPI Snapshot Generator</t>
        </is>
      </c>
      <c r="C94" s="59" t="inlineStr">
        <is>
          <t>Non-UI</t>
        </is>
      </c>
      <c r="D94" s="30" t="inlineStr">
        <is>
          <t>FE-05: Operational Monitoring Dashboard</t>
        </is>
      </c>
      <c r="E94" s="31" t="inlineStr">
        <is>
          <t>KPI Metrics</t>
        </is>
      </c>
      <c r="F94" s="30" t="inlineStr">
        <is>
          <t>Aggregates operational KPIs for the dashboard.</t>
        </is>
      </c>
      <c r="G94" s="63" t="inlineStr">
        <is>
          <t>Complex</t>
        </is>
      </c>
      <c r="H94" s="76" t="n">
        <v>8</v>
      </c>
      <c r="I94" s="72" t="inlineStr">
        <is>
          <t>Iteration 3</t>
        </is>
      </c>
      <c r="J94" s="74" t="inlineStr">
        <is>
          <t>DucNH</t>
        </is>
      </c>
      <c r="K94" s="74" t="n"/>
      <c r="L94" s="70" t="inlineStr">
        <is>
          <t>Cancelled</t>
        </is>
      </c>
      <c r="M94" s="74" t="n"/>
      <c r="N94" s="1" t="n"/>
      <c r="O94" s="1" t="n"/>
      <c r="P94" s="1" t="n"/>
      <c r="Q94" s="1" t="n"/>
      <c r="R94" s="1" t="n"/>
      <c r="S94" s="1" t="n"/>
      <c r="T94" s="1" t="n"/>
      <c r="U94" s="1" t="n"/>
      <c r="V94" s="1" t="n"/>
      <c r="W94" s="1" t="n"/>
      <c r="X94" s="1" t="n"/>
      <c r="Y94" s="1" t="n"/>
      <c r="Z94" s="1" t="n"/>
      <c r="AA94" s="1" t="n"/>
    </row>
    <row r="95" ht="14.25" customHeight="1" s="118">
      <c r="A95" s="26" t="n">
        <v>91</v>
      </c>
      <c r="B95" s="27" t="inlineStr">
        <is>
          <t>SSE Push Service</t>
        </is>
      </c>
      <c r="C95" s="59" t="inlineStr">
        <is>
          <t>Non-UI</t>
        </is>
      </c>
      <c r="D95" s="30" t="inlineStr">
        <is>
          <t>FE-05: Operational Monitoring Dashboard</t>
        </is>
      </c>
      <c r="E95" s="31" t="inlineStr">
        <is>
          <t>Real-time Dashboard</t>
        </is>
      </c>
      <c r="F95" s="30" t="inlineStr">
        <is>
          <t>SSE stream pushing live AGV positions and request status.</t>
        </is>
      </c>
      <c r="G95" s="63" t="inlineStr">
        <is>
          <t>Complex</t>
        </is>
      </c>
      <c r="H95" s="76" t="n">
        <v>8</v>
      </c>
      <c r="I95" s="72" t="inlineStr">
        <is>
          <t>Iteration 2</t>
        </is>
      </c>
      <c r="J95" s="74" t="inlineStr">
        <is>
          <t>DucNH</t>
        </is>
      </c>
      <c r="K95" s="74" t="n"/>
      <c r="L95" s="75" t="inlineStr">
        <is>
          <t>Done</t>
        </is>
      </c>
      <c r="M95" s="74" t="n"/>
      <c r="N95" s="1" t="n"/>
      <c r="O95" s="1" t="n"/>
      <c r="P95" s="1" t="n"/>
      <c r="Q95" s="1" t="n"/>
      <c r="R95" s="1" t="n"/>
      <c r="S95" s="1" t="n"/>
      <c r="T95" s="1" t="n"/>
      <c r="U95" s="1" t="n"/>
      <c r="V95" s="1" t="n"/>
      <c r="W95" s="1" t="n"/>
      <c r="X95" s="1" t="n"/>
      <c r="Y95" s="1" t="n"/>
      <c r="Z95" s="1" t="n"/>
      <c r="AA95" s="1" t="n"/>
    </row>
    <row r="96" ht="15.75" customHeight="1" s="118">
      <c r="A96" s="40" t="n">
        <v>92</v>
      </c>
      <c r="B96" s="27" t="inlineStr">
        <is>
          <t>System login</t>
        </is>
      </c>
      <c r="C96" s="29" t="inlineStr">
        <is>
          <t>Screen</t>
        </is>
      </c>
      <c r="D96" s="30" t="inlineStr">
        <is>
          <t>FE-06: User &amp; Access Management</t>
        </is>
      </c>
      <c r="E96" s="31" t="inlineStr">
        <is>
          <t>Account &amp; Profile</t>
        </is>
      </c>
      <c r="F96" s="30" t="inlineStr">
        <is>
          <t>Authenticate user using credentials to access the system.</t>
        </is>
      </c>
      <c r="G96" s="68" t="inlineStr">
        <is>
          <t>Simple</t>
        </is>
      </c>
      <c r="H96" s="76" t="n">
        <v>3</v>
      </c>
      <c r="I96" s="65" t="inlineStr">
        <is>
          <t>Iteration 1</t>
        </is>
      </c>
      <c r="J96" s="73" t="inlineStr">
        <is>
          <t>DucNH</t>
        </is>
      </c>
      <c r="K96" s="74" t="n"/>
      <c r="L96" s="67" t="inlineStr">
        <is>
          <t>Done</t>
        </is>
      </c>
      <c r="M96" s="74" t="n"/>
      <c r="N96" s="1" t="n"/>
      <c r="O96" s="1" t="n"/>
      <c r="P96" s="1" t="n"/>
      <c r="Q96" s="1" t="n"/>
      <c r="R96" s="1" t="n"/>
      <c r="S96" s="1" t="n"/>
      <c r="T96" s="1" t="n"/>
      <c r="U96" s="1" t="n"/>
      <c r="V96" s="1" t="n"/>
      <c r="W96" s="1" t="n"/>
      <c r="X96" s="1" t="n"/>
      <c r="Y96" s="1" t="n"/>
      <c r="Z96" s="1" t="n"/>
      <c r="AA96" s="1" t="n"/>
    </row>
    <row r="97" ht="15.75" customHeight="1" s="118">
      <c r="A97" s="40" t="n">
        <v>93</v>
      </c>
      <c r="B97" s="27" t="inlineStr">
        <is>
          <t>View personal info</t>
        </is>
      </c>
      <c r="C97" s="29" t="inlineStr">
        <is>
          <t>Screen</t>
        </is>
      </c>
      <c r="D97" s="30" t="inlineStr">
        <is>
          <t>FE-06: User &amp; Access Management</t>
        </is>
      </c>
      <c r="E97" s="31" t="inlineStr">
        <is>
          <t>Account &amp; Profile</t>
        </is>
      </c>
      <c r="F97" s="30" t="inlineStr">
        <is>
          <t>Display the logged-in user's profile details.</t>
        </is>
      </c>
      <c r="G97" s="68" t="inlineStr">
        <is>
          <t>Simple</t>
        </is>
      </c>
      <c r="H97" s="76" t="n">
        <v>3</v>
      </c>
      <c r="I97" s="65" t="inlineStr">
        <is>
          <t>Iteration 1</t>
        </is>
      </c>
      <c r="J97" s="73" t="inlineStr">
        <is>
          <t>DucNH</t>
        </is>
      </c>
      <c r="K97" s="74" t="n"/>
      <c r="L97" s="67" t="inlineStr">
        <is>
          <t>Done</t>
        </is>
      </c>
      <c r="M97" s="74" t="n"/>
      <c r="N97" s="1" t="n"/>
      <c r="O97" s="1" t="n"/>
      <c r="P97" s="1" t="n"/>
      <c r="Q97" s="1" t="n"/>
      <c r="R97" s="1" t="n"/>
      <c r="S97" s="1" t="n"/>
      <c r="T97" s="1" t="n"/>
      <c r="U97" s="1" t="n"/>
      <c r="V97" s="1" t="n"/>
      <c r="W97" s="1" t="n"/>
      <c r="X97" s="1" t="n"/>
      <c r="Y97" s="1" t="n"/>
      <c r="Z97" s="1" t="n"/>
      <c r="AA97" s="1" t="n"/>
    </row>
    <row r="98" ht="15.75" customHeight="1" s="118">
      <c r="A98" s="26" t="n">
        <v>94</v>
      </c>
      <c r="B98" s="27" t="inlineStr">
        <is>
          <t>Update personal info (profile)</t>
        </is>
      </c>
      <c r="C98" s="29" t="inlineStr">
        <is>
          <t>Screen</t>
        </is>
      </c>
      <c r="D98" s="30" t="inlineStr">
        <is>
          <t>FE-06: User &amp; Access Management</t>
        </is>
      </c>
      <c r="E98" s="31" t="inlineStr">
        <is>
          <t>Account &amp; Profile</t>
        </is>
      </c>
      <c r="F98" s="30" t="inlineStr">
        <is>
          <t>Modify user's own profile data (name, contact info, etc.).</t>
        </is>
      </c>
      <c r="G98" s="68" t="inlineStr">
        <is>
          <t>Simple</t>
        </is>
      </c>
      <c r="H98" s="76" t="n">
        <v>3</v>
      </c>
      <c r="I98" s="65" t="inlineStr">
        <is>
          <t>Iteration 1</t>
        </is>
      </c>
      <c r="J98" s="73" t="inlineStr">
        <is>
          <t>DucNH</t>
        </is>
      </c>
      <c r="K98" s="74" t="n"/>
      <c r="L98" s="67" t="inlineStr">
        <is>
          <t>Done</t>
        </is>
      </c>
      <c r="M98" s="74" t="n"/>
      <c r="N98" s="1" t="n"/>
      <c r="O98" s="1" t="n"/>
      <c r="P98" s="1" t="n"/>
      <c r="Q98" s="1" t="n"/>
      <c r="R98" s="1" t="n"/>
      <c r="S98" s="1" t="n"/>
      <c r="T98" s="1" t="n"/>
      <c r="U98" s="1" t="n"/>
      <c r="V98" s="1" t="n"/>
      <c r="W98" s="1" t="n"/>
      <c r="X98" s="1" t="n"/>
      <c r="Y98" s="1" t="n"/>
      <c r="Z98" s="1" t="n"/>
      <c r="AA98" s="1" t="n"/>
    </row>
    <row r="99" ht="15.75" customHeight="1" s="118">
      <c r="A99" s="40" t="n">
        <v>95</v>
      </c>
      <c r="B99" s="27" t="inlineStr">
        <is>
          <t>Change password</t>
        </is>
      </c>
      <c r="C99" s="29" t="inlineStr">
        <is>
          <t>Screen</t>
        </is>
      </c>
      <c r="D99" s="30" t="inlineStr">
        <is>
          <t>FE-06: User &amp; Access Management</t>
        </is>
      </c>
      <c r="E99" s="31" t="inlineStr">
        <is>
          <t>Account &amp; Profile</t>
        </is>
      </c>
      <c r="F99" s="30" t="inlineStr">
        <is>
          <t>Allow user to update password after verifying the current one.</t>
        </is>
      </c>
      <c r="G99" s="68" t="inlineStr">
        <is>
          <t>Simple</t>
        </is>
      </c>
      <c r="H99" s="76" t="n">
        <v>3</v>
      </c>
      <c r="I99" s="65" t="inlineStr">
        <is>
          <t>Iteration 1</t>
        </is>
      </c>
      <c r="J99" s="73" t="inlineStr">
        <is>
          <t>DucNH</t>
        </is>
      </c>
      <c r="K99" s="74" t="n"/>
      <c r="L99" s="67" t="inlineStr">
        <is>
          <t>Done</t>
        </is>
      </c>
      <c r="M99" s="74" t="n"/>
      <c r="N99" s="1" t="n"/>
      <c r="O99" s="1" t="n"/>
      <c r="P99" s="1" t="n"/>
      <c r="Q99" s="1" t="n"/>
      <c r="R99" s="1" t="n"/>
      <c r="S99" s="1" t="n"/>
      <c r="T99" s="1" t="n"/>
      <c r="U99" s="1" t="n"/>
      <c r="V99" s="1" t="n"/>
      <c r="W99" s="1" t="n"/>
      <c r="X99" s="1" t="n"/>
      <c r="Y99" s="1" t="n"/>
      <c r="Z99" s="1" t="n"/>
      <c r="AA99" s="1" t="n"/>
    </row>
    <row r="100" ht="15.75" customHeight="1" s="118">
      <c r="A100" s="26" t="n">
        <v>96</v>
      </c>
      <c r="B100" s="27" t="inlineStr">
        <is>
          <t>Forgot/reset password reset</t>
        </is>
      </c>
      <c r="C100" s="29" t="inlineStr">
        <is>
          <t>Screen</t>
        </is>
      </c>
      <c r="D100" s="30" t="inlineStr">
        <is>
          <t>FE-06: User &amp; Access Management</t>
        </is>
      </c>
      <c r="E100" s="31" t="inlineStr">
        <is>
          <t>Account &amp; Profile</t>
        </is>
      </c>
      <c r="F100" s="30" t="inlineStr">
        <is>
          <t>Request a secure password reset OTP via email</t>
        </is>
      </c>
      <c r="G100" s="63" t="inlineStr">
        <is>
          <t>Medium</t>
        </is>
      </c>
      <c r="H100" s="76" t="n">
        <v>5</v>
      </c>
      <c r="I100" s="65" t="inlineStr">
        <is>
          <t>Iteration 1</t>
        </is>
      </c>
      <c r="J100" s="73" t="inlineStr">
        <is>
          <t>DucNH</t>
        </is>
      </c>
      <c r="K100" s="74" t="n"/>
      <c r="L100" s="67" t="inlineStr">
        <is>
          <t>Done</t>
        </is>
      </c>
      <c r="M100" s="74" t="n"/>
      <c r="N100" s="1" t="n"/>
      <c r="O100" s="1" t="n"/>
      <c r="P100" s="1" t="n"/>
      <c r="Q100" s="1" t="n"/>
      <c r="R100" s="1" t="n"/>
      <c r="S100" s="1" t="n"/>
      <c r="T100" s="1" t="n"/>
      <c r="U100" s="1" t="n"/>
      <c r="V100" s="1" t="n"/>
      <c r="W100" s="1" t="n"/>
      <c r="X100" s="1" t="n"/>
      <c r="Y100" s="1" t="n"/>
      <c r="Z100" s="1" t="n"/>
      <c r="AA100" s="1" t="n"/>
    </row>
    <row r="101" ht="15.75" customHeight="1" s="118">
      <c r="A101" s="40" t="n">
        <v>97</v>
      </c>
      <c r="B101" s="27" t="inlineStr">
        <is>
          <t>Create user account</t>
        </is>
      </c>
      <c r="C101" s="29" t="inlineStr">
        <is>
          <t>Screen</t>
        </is>
      </c>
      <c r="D101" s="30" t="inlineStr">
        <is>
          <t>FE-06: User &amp; Access Management</t>
        </is>
      </c>
      <c r="E101" s="31" t="inlineStr">
        <is>
          <t>User Administration</t>
        </is>
      </c>
      <c r="F101" s="30" t="inlineStr">
        <is>
          <t>Admin creates a new system login for an operator.</t>
        </is>
      </c>
      <c r="G101" s="68" t="inlineStr">
        <is>
          <t>Simple</t>
        </is>
      </c>
      <c r="H101" s="76" t="n">
        <v>3</v>
      </c>
      <c r="I101" s="65" t="inlineStr">
        <is>
          <t>Iteration 1</t>
        </is>
      </c>
      <c r="J101" s="73" t="inlineStr">
        <is>
          <t>DucNH</t>
        </is>
      </c>
      <c r="K101" s="74" t="n"/>
      <c r="L101" s="67" t="inlineStr">
        <is>
          <t>Done</t>
        </is>
      </c>
      <c r="M101" s="74" t="n"/>
      <c r="N101" s="1" t="n"/>
      <c r="O101" s="1" t="n"/>
      <c r="P101" s="1" t="n"/>
      <c r="Q101" s="1" t="n"/>
      <c r="R101" s="1" t="n"/>
      <c r="S101" s="1" t="n"/>
      <c r="T101" s="1" t="n"/>
      <c r="U101" s="1" t="n"/>
      <c r="V101" s="1" t="n"/>
      <c r="W101" s="1" t="n"/>
      <c r="X101" s="1" t="n"/>
      <c r="Y101" s="1" t="n"/>
      <c r="Z101" s="1" t="n"/>
      <c r="AA101" s="1" t="n"/>
    </row>
    <row r="102" ht="15.75" customHeight="1" s="118">
      <c r="A102" s="26" t="n">
        <v>98</v>
      </c>
      <c r="B102" s="27" t="inlineStr">
        <is>
          <t>Update user account</t>
        </is>
      </c>
      <c r="C102" s="29" t="inlineStr">
        <is>
          <t>Screen</t>
        </is>
      </c>
      <c r="D102" s="30" t="inlineStr">
        <is>
          <t>FE-06: User &amp; Access Management</t>
        </is>
      </c>
      <c r="E102" s="31" t="inlineStr">
        <is>
          <t>User Administration</t>
        </is>
      </c>
      <c r="F102" s="30" t="inlineStr">
        <is>
          <t>Modify user details (name, email, etc.).</t>
        </is>
      </c>
      <c r="G102" s="68" t="inlineStr">
        <is>
          <t>Simple</t>
        </is>
      </c>
      <c r="H102" s="76" t="n">
        <v>3</v>
      </c>
      <c r="I102" s="65" t="inlineStr">
        <is>
          <t>Iteration 1</t>
        </is>
      </c>
      <c r="J102" s="73" t="inlineStr">
        <is>
          <t>DucNH</t>
        </is>
      </c>
      <c r="K102" s="74" t="n"/>
      <c r="L102" s="67" t="inlineStr">
        <is>
          <t>Done</t>
        </is>
      </c>
      <c r="M102" s="74" t="n"/>
      <c r="N102" s="1" t="n"/>
      <c r="O102" s="1" t="n"/>
      <c r="P102" s="1" t="n"/>
      <c r="Q102" s="1" t="n"/>
      <c r="R102" s="1" t="n"/>
      <c r="S102" s="1" t="n"/>
      <c r="T102" s="1" t="n"/>
      <c r="U102" s="1" t="n"/>
      <c r="V102" s="1" t="n"/>
      <c r="W102" s="1" t="n"/>
      <c r="X102" s="1" t="n"/>
      <c r="Y102" s="1" t="n"/>
      <c r="Z102" s="1" t="n"/>
      <c r="AA102" s="1" t="n"/>
    </row>
    <row r="103" ht="15.75" customHeight="1" s="118">
      <c r="A103" s="40" t="n">
        <v>99</v>
      </c>
      <c r="B103" s="27" t="inlineStr">
        <is>
          <t>Delete user account</t>
        </is>
      </c>
      <c r="C103" s="29" t="inlineStr">
        <is>
          <t>Screen</t>
        </is>
      </c>
      <c r="D103" s="30" t="inlineStr">
        <is>
          <t>FE-06: User &amp; Access Management</t>
        </is>
      </c>
      <c r="E103" s="31" t="inlineStr">
        <is>
          <t>User Administration</t>
        </is>
      </c>
      <c r="F103" s="30" t="inlineStr">
        <is>
          <t>Remove a user's access from the system entirely.</t>
        </is>
      </c>
      <c r="G103" s="68" t="inlineStr">
        <is>
          <t>Simple</t>
        </is>
      </c>
      <c r="H103" s="76" t="n">
        <v>3</v>
      </c>
      <c r="I103" s="65" t="inlineStr">
        <is>
          <t>Iteration 1</t>
        </is>
      </c>
      <c r="J103" s="73" t="inlineStr">
        <is>
          <t>DucNH</t>
        </is>
      </c>
      <c r="K103" s="74" t="n"/>
      <c r="L103" s="67" t="inlineStr">
        <is>
          <t>Done</t>
        </is>
      </c>
      <c r="M103" s="74" t="n"/>
      <c r="N103" s="1" t="n"/>
      <c r="O103" s="1" t="n"/>
      <c r="P103" s="1" t="n"/>
      <c r="Q103" s="1" t="n"/>
      <c r="R103" s="1" t="n"/>
      <c r="S103" s="1" t="n"/>
      <c r="T103" s="1" t="n"/>
      <c r="U103" s="1" t="n"/>
      <c r="V103" s="1" t="n"/>
      <c r="W103" s="1" t="n"/>
      <c r="X103" s="1" t="n"/>
      <c r="Y103" s="1" t="n"/>
      <c r="Z103" s="1" t="n"/>
      <c r="AA103" s="1" t="n"/>
    </row>
    <row r="104" ht="15.75" customHeight="1" s="118">
      <c r="A104" s="26" t="n">
        <v>100</v>
      </c>
      <c r="B104" s="27" t="inlineStr">
        <is>
          <t>View user list</t>
        </is>
      </c>
      <c r="C104" s="29" t="inlineStr">
        <is>
          <t>Screen</t>
        </is>
      </c>
      <c r="D104" s="30" t="inlineStr">
        <is>
          <t>FE-06: User &amp; Access Management</t>
        </is>
      </c>
      <c r="E104" s="31" t="inlineStr">
        <is>
          <t>User Administration</t>
        </is>
      </c>
      <c r="F104" s="30" t="inlineStr">
        <is>
          <t>Display a list of all registered system users.</t>
        </is>
      </c>
      <c r="G104" s="68" t="inlineStr">
        <is>
          <t>Simple</t>
        </is>
      </c>
      <c r="H104" s="76" t="n">
        <v>3</v>
      </c>
      <c r="I104" s="65" t="inlineStr">
        <is>
          <t>Iteration 1</t>
        </is>
      </c>
      <c r="J104" s="73" t="inlineStr">
        <is>
          <t>DucNH</t>
        </is>
      </c>
      <c r="K104" s="74" t="n"/>
      <c r="L104" s="67" t="inlineStr">
        <is>
          <t>Done</t>
        </is>
      </c>
      <c r="M104" s="74" t="n"/>
      <c r="N104" s="1" t="n"/>
      <c r="O104" s="1" t="n"/>
      <c r="P104" s="1" t="n"/>
      <c r="Q104" s="1" t="n"/>
      <c r="R104" s="1" t="n"/>
      <c r="S104" s="1" t="n"/>
      <c r="T104" s="1" t="n"/>
      <c r="U104" s="1" t="n"/>
      <c r="V104" s="1" t="n"/>
      <c r="W104" s="1" t="n"/>
      <c r="X104" s="1" t="n"/>
      <c r="Y104" s="1" t="n"/>
      <c r="Z104" s="1" t="n"/>
      <c r="AA104" s="1" t="n"/>
    </row>
    <row r="105" ht="15.75" customHeight="1" s="118">
      <c r="A105" s="40" t="n">
        <v>101</v>
      </c>
      <c r="B105" s="27" t="inlineStr">
        <is>
          <t>View user details</t>
        </is>
      </c>
      <c r="C105" s="29" t="inlineStr">
        <is>
          <t>Screen</t>
        </is>
      </c>
      <c r="D105" s="30" t="inlineStr">
        <is>
          <t>FE-06: User &amp; Access Management</t>
        </is>
      </c>
      <c r="E105" s="31" t="inlineStr">
        <is>
          <t>User Administration</t>
        </is>
      </c>
      <c r="F105" s="30" t="inlineStr">
        <is>
          <t>Show specific information about a user account.</t>
        </is>
      </c>
      <c r="G105" s="68" t="inlineStr">
        <is>
          <t>Simple</t>
        </is>
      </c>
      <c r="H105" s="76" t="n">
        <v>3</v>
      </c>
      <c r="I105" s="65" t="inlineStr">
        <is>
          <t>Iteration 1</t>
        </is>
      </c>
      <c r="J105" s="73" t="inlineStr">
        <is>
          <t>DucNH</t>
        </is>
      </c>
      <c r="K105" s="74" t="n"/>
      <c r="L105" s="67" t="inlineStr">
        <is>
          <t>Done</t>
        </is>
      </c>
      <c r="M105" s="74" t="n"/>
      <c r="N105" s="1" t="n"/>
      <c r="O105" s="1" t="n"/>
      <c r="P105" s="1" t="n"/>
      <c r="Q105" s="1" t="n"/>
      <c r="R105" s="1" t="n"/>
      <c r="S105" s="1" t="n"/>
      <c r="T105" s="1" t="n"/>
      <c r="U105" s="1" t="n"/>
      <c r="V105" s="1" t="n"/>
      <c r="W105" s="1" t="n"/>
      <c r="X105" s="1" t="n"/>
      <c r="Y105" s="1" t="n"/>
      <c r="Z105" s="1" t="n"/>
      <c r="AA105" s="1" t="n"/>
    </row>
    <row r="106" ht="15.75" customHeight="1" s="118">
      <c r="A106" s="26" t="n">
        <v>102</v>
      </c>
      <c r="B106" s="27" t="inlineStr">
        <is>
          <t>Lock user account</t>
        </is>
      </c>
      <c r="C106" s="29" t="inlineStr">
        <is>
          <t>Screen</t>
        </is>
      </c>
      <c r="D106" s="30" t="inlineStr">
        <is>
          <t>FE-06: User &amp; Access Management</t>
        </is>
      </c>
      <c r="E106" s="31" t="inlineStr">
        <is>
          <t>Access Control</t>
        </is>
      </c>
      <c r="F106" s="30" t="inlineStr">
        <is>
          <t>Temporarily disable a user from logging in.</t>
        </is>
      </c>
      <c r="G106" s="68" t="inlineStr">
        <is>
          <t>Simple</t>
        </is>
      </c>
      <c r="H106" s="76" t="n">
        <v>3</v>
      </c>
      <c r="I106" s="65" t="inlineStr">
        <is>
          <t>Iteration 1</t>
        </is>
      </c>
      <c r="J106" s="73" t="inlineStr">
        <is>
          <t>DucNH</t>
        </is>
      </c>
      <c r="K106" s="74" t="n"/>
      <c r="L106" s="67" t="inlineStr">
        <is>
          <t>Done</t>
        </is>
      </c>
      <c r="M106" s="74" t="n"/>
      <c r="N106" s="1" t="n"/>
      <c r="O106" s="1" t="n"/>
      <c r="P106" s="1" t="n"/>
      <c r="Q106" s="1" t="n"/>
      <c r="R106" s="1" t="n"/>
      <c r="S106" s="1" t="n"/>
      <c r="T106" s="1" t="n"/>
      <c r="U106" s="1" t="n"/>
      <c r="V106" s="1" t="n"/>
      <c r="W106" s="1" t="n"/>
      <c r="X106" s="1" t="n"/>
      <c r="Y106" s="1" t="n"/>
      <c r="Z106" s="1" t="n"/>
      <c r="AA106" s="1" t="n"/>
    </row>
    <row r="107" ht="15.75" customHeight="1" s="118">
      <c r="A107" s="40" t="n">
        <v>103</v>
      </c>
      <c r="B107" s="27" t="inlineStr">
        <is>
          <t>Unlock user account</t>
        </is>
      </c>
      <c r="C107" s="29" t="inlineStr">
        <is>
          <t>Screen</t>
        </is>
      </c>
      <c r="D107" s="30" t="inlineStr">
        <is>
          <t>FE-06: User &amp; Access Management</t>
        </is>
      </c>
      <c r="E107" s="31" t="inlineStr">
        <is>
          <t>Access Control</t>
        </is>
      </c>
      <c r="F107" s="30" t="inlineStr">
        <is>
          <t>Re-enable a previously locked user account.</t>
        </is>
      </c>
      <c r="G107" s="68" t="inlineStr">
        <is>
          <t>Simple</t>
        </is>
      </c>
      <c r="H107" s="76" t="n">
        <v>3</v>
      </c>
      <c r="I107" s="65" t="inlineStr">
        <is>
          <t>Iteration 1</t>
        </is>
      </c>
      <c r="J107" s="73" t="inlineStr">
        <is>
          <t>DucNH</t>
        </is>
      </c>
      <c r="K107" s="74" t="n"/>
      <c r="L107" s="67" t="inlineStr">
        <is>
          <t>Done</t>
        </is>
      </c>
      <c r="M107" s="74" t="n"/>
      <c r="N107" s="1" t="n"/>
      <c r="O107" s="1" t="n"/>
      <c r="P107" s="1" t="n"/>
      <c r="Q107" s="1" t="n"/>
      <c r="R107" s="1" t="n"/>
      <c r="S107" s="1" t="n"/>
      <c r="T107" s="1" t="n"/>
      <c r="U107" s="1" t="n"/>
      <c r="V107" s="1" t="n"/>
      <c r="W107" s="1" t="n"/>
      <c r="X107" s="1" t="n"/>
      <c r="Y107" s="1" t="n"/>
      <c r="Z107" s="1" t="n"/>
      <c r="AA107" s="1" t="n"/>
    </row>
    <row r="108" ht="15.75" customHeight="1" s="118">
      <c r="A108" s="26" t="n">
        <v>104</v>
      </c>
      <c r="B108" s="27" t="inlineStr">
        <is>
          <t>Assign role to user</t>
        </is>
      </c>
      <c r="C108" s="29" t="inlineStr">
        <is>
          <t>Screen</t>
        </is>
      </c>
      <c r="D108" s="30" t="inlineStr">
        <is>
          <t>FE-06: User &amp; Access Management</t>
        </is>
      </c>
      <c r="E108" s="31" t="inlineStr">
        <is>
          <t>Access Control</t>
        </is>
      </c>
      <c r="F108" s="30" t="inlineStr">
        <is>
          <t>Grant a specific role (Admin, Operator) to a user.</t>
        </is>
      </c>
      <c r="G108" s="68" t="inlineStr">
        <is>
          <t>Simple</t>
        </is>
      </c>
      <c r="H108" s="76" t="n">
        <v>3</v>
      </c>
      <c r="I108" s="65" t="inlineStr">
        <is>
          <t>Iteration 1</t>
        </is>
      </c>
      <c r="J108" s="73" t="inlineStr">
        <is>
          <t>DucNH</t>
        </is>
      </c>
      <c r="K108" s="74" t="n"/>
      <c r="L108" s="67" t="inlineStr">
        <is>
          <t>Done</t>
        </is>
      </c>
      <c r="M108" s="74" t="n"/>
      <c r="N108" s="1" t="n"/>
      <c r="O108" s="1" t="n"/>
      <c r="P108" s="1" t="n"/>
      <c r="Q108" s="1" t="n"/>
      <c r="R108" s="1" t="n"/>
      <c r="S108" s="1" t="n"/>
      <c r="T108" s="1" t="n"/>
      <c r="U108" s="1" t="n"/>
      <c r="V108" s="1" t="n"/>
      <c r="W108" s="1" t="n"/>
      <c r="X108" s="1" t="n"/>
      <c r="Y108" s="1" t="n"/>
      <c r="Z108" s="1" t="n"/>
      <c r="AA108" s="1" t="n"/>
    </row>
    <row r="109" ht="15.75" customHeight="1" s="118">
      <c r="A109" s="40" t="n">
        <v>105</v>
      </c>
      <c r="B109" s="27" t="inlineStr">
        <is>
          <t>Remove role from user</t>
        </is>
      </c>
      <c r="C109" s="29" t="inlineStr">
        <is>
          <t>Screen</t>
        </is>
      </c>
      <c r="D109" s="30" t="inlineStr">
        <is>
          <t>FE-06: User &amp; Access Management</t>
        </is>
      </c>
      <c r="E109" s="31" t="inlineStr">
        <is>
          <t>Access Control</t>
        </is>
      </c>
      <c r="F109" s="30" t="inlineStr">
        <is>
          <t>Revoke a specific role from a user account.</t>
        </is>
      </c>
      <c r="G109" s="68" t="inlineStr">
        <is>
          <t>Simple</t>
        </is>
      </c>
      <c r="H109" s="76" t="n">
        <v>3</v>
      </c>
      <c r="I109" s="65" t="inlineStr">
        <is>
          <t>Iteration 1</t>
        </is>
      </c>
      <c r="J109" s="73" t="inlineStr">
        <is>
          <t>DucNH</t>
        </is>
      </c>
      <c r="K109" s="74" t="n"/>
      <c r="L109" s="67" t="inlineStr">
        <is>
          <t>Done</t>
        </is>
      </c>
      <c r="M109" s="74" t="n"/>
      <c r="N109" s="1" t="n"/>
      <c r="O109" s="1" t="n"/>
      <c r="P109" s="1" t="n"/>
      <c r="Q109" s="1" t="n"/>
      <c r="R109" s="1" t="n"/>
      <c r="S109" s="1" t="n"/>
      <c r="T109" s="1" t="n"/>
      <c r="U109" s="1" t="n"/>
      <c r="V109" s="1" t="n"/>
      <c r="W109" s="1" t="n"/>
      <c r="X109" s="1" t="n"/>
      <c r="Y109" s="1" t="n"/>
      <c r="Z109" s="1" t="n"/>
      <c r="AA109" s="1" t="n"/>
    </row>
    <row r="110" ht="15.75" customHeight="1" s="118">
      <c r="A110" s="26" t="n">
        <v>106</v>
      </c>
      <c r="B110" s="27" t="inlineStr">
        <is>
          <t>Reset user password</t>
        </is>
      </c>
      <c r="C110" s="29" t="inlineStr">
        <is>
          <t>Screen</t>
        </is>
      </c>
      <c r="D110" s="30" t="inlineStr">
        <is>
          <t>FE-06: User &amp; Access Management</t>
        </is>
      </c>
      <c r="E110" s="31" t="inlineStr">
        <is>
          <t>Access Control</t>
        </is>
      </c>
      <c r="F110" s="30" t="inlineStr">
        <is>
          <t>Admin forces a password reset for a user account.</t>
        </is>
      </c>
      <c r="G110" s="68" t="inlineStr">
        <is>
          <t>Simple</t>
        </is>
      </c>
      <c r="H110" s="76" t="n">
        <v>3</v>
      </c>
      <c r="I110" s="65" t="inlineStr">
        <is>
          <t>Iteration 1</t>
        </is>
      </c>
      <c r="J110" s="73" t="inlineStr">
        <is>
          <t>DucNH</t>
        </is>
      </c>
      <c r="K110" s="74" t="n"/>
      <c r="L110" s="67" t="inlineStr">
        <is>
          <t>Done</t>
        </is>
      </c>
      <c r="M110" s="74" t="n"/>
      <c r="N110" s="1" t="n"/>
      <c r="O110" s="1" t="n"/>
      <c r="P110" s="1" t="n"/>
      <c r="Q110" s="1" t="n"/>
      <c r="R110" s="1" t="n"/>
      <c r="S110" s="1" t="n"/>
      <c r="T110" s="1" t="n"/>
      <c r="U110" s="1" t="n"/>
      <c r="V110" s="1" t="n"/>
      <c r="W110" s="1" t="n"/>
      <c r="X110" s="1" t="n"/>
      <c r="Y110" s="1" t="n"/>
      <c r="Z110" s="1" t="n"/>
      <c r="AA110" s="1" t="n"/>
    </row>
    <row r="111" ht="15.75" customHeight="1" s="118">
      <c r="A111" s="26" t="n">
        <v>107</v>
      </c>
      <c r="B111" s="27" t="inlineStr">
        <is>
          <t>System logout</t>
        </is>
      </c>
      <c r="C111" s="59" t="inlineStr">
        <is>
          <t>Non-UI</t>
        </is>
      </c>
      <c r="D111" s="30" t="inlineStr">
        <is>
          <t>FE-06: User &amp; Access Management</t>
        </is>
      </c>
      <c r="E111" s="31" t="inlineStr">
        <is>
          <t>Account &amp; Profile</t>
        </is>
      </c>
      <c r="F111" s="30" t="inlineStr">
        <is>
          <t>Terminate the current active session securely.</t>
        </is>
      </c>
      <c r="G111" s="68" t="inlineStr">
        <is>
          <t>Simple</t>
        </is>
      </c>
      <c r="H111" s="76" t="n">
        <v>3</v>
      </c>
      <c r="I111" s="65" t="inlineStr">
        <is>
          <t>Iteration 1</t>
        </is>
      </c>
      <c r="J111" s="73" t="inlineStr">
        <is>
          <t>DucNH</t>
        </is>
      </c>
      <c r="K111" s="74" t="n"/>
      <c r="L111" s="67" t="inlineStr">
        <is>
          <t>Done</t>
        </is>
      </c>
      <c r="M111" s="74" t="n"/>
      <c r="N111" s="1" t="n"/>
      <c r="O111" s="1" t="n"/>
      <c r="P111" s="1" t="n"/>
      <c r="Q111" s="1" t="n"/>
      <c r="R111" s="1" t="n"/>
      <c r="S111" s="1" t="n"/>
      <c r="T111" s="1" t="n"/>
      <c r="U111" s="1" t="n"/>
      <c r="V111" s="1" t="n"/>
      <c r="W111" s="1" t="n"/>
      <c r="X111" s="1" t="n"/>
      <c r="Y111" s="1" t="n"/>
      <c r="Z111" s="1" t="n"/>
      <c r="AA111" s="1" t="n"/>
    </row>
    <row r="112" ht="14.25" customHeight="1" s="118">
      <c r="A112" s="26" t="n">
        <v>108</v>
      </c>
      <c r="B112" s="27" t="inlineStr">
        <is>
          <t>Email Delivery Service</t>
        </is>
      </c>
      <c r="C112" s="59" t="inlineStr">
        <is>
          <t>Non-UI</t>
        </is>
      </c>
      <c r="D112" s="30" t="inlineStr">
        <is>
          <t>FE-06: User &amp; Access Management</t>
        </is>
      </c>
      <c r="E112" s="31" t="inlineStr">
        <is>
          <t>Account &amp; Profile</t>
        </is>
      </c>
      <c r="F112" s="30" t="inlineStr">
        <is>
          <t>Sends invitation and password-reset emails.</t>
        </is>
      </c>
      <c r="G112" s="63" t="inlineStr">
        <is>
          <t>Medium</t>
        </is>
      </c>
      <c r="H112" s="76" t="n">
        <v>5</v>
      </c>
      <c r="I112" s="72" t="inlineStr">
        <is>
          <t>Iteration 1</t>
        </is>
      </c>
      <c r="J112" s="74" t="inlineStr">
        <is>
          <t>DucNH</t>
        </is>
      </c>
      <c r="K112" s="74" t="n"/>
      <c r="L112" s="67" t="inlineStr">
        <is>
          <t>Done</t>
        </is>
      </c>
      <c r="M112" s="74" t="n"/>
      <c r="N112" s="1" t="n"/>
      <c r="O112" s="1" t="n"/>
      <c r="P112" s="1" t="n"/>
      <c r="Q112" s="1" t="n"/>
      <c r="R112" s="1" t="n"/>
      <c r="S112" s="1" t="n"/>
      <c r="T112" s="1" t="n"/>
      <c r="U112" s="1" t="n"/>
      <c r="V112" s="1" t="n"/>
      <c r="W112" s="1" t="n"/>
      <c r="X112" s="1" t="n"/>
      <c r="Y112" s="1" t="n"/>
      <c r="Z112" s="1" t="n"/>
      <c r="AA112" s="1" t="n"/>
    </row>
    <row r="113" ht="14.25" customHeight="1" s="118">
      <c r="A113" s="26" t="n">
        <v>109</v>
      </c>
      <c r="B113" s="27" t="inlineStr">
        <is>
          <t>Refresh Token Cleanup</t>
        </is>
      </c>
      <c r="C113" s="59" t="inlineStr">
        <is>
          <t>Non-UI</t>
        </is>
      </c>
      <c r="D113" s="30" t="inlineStr">
        <is>
          <t>FE-06: User &amp; Access Management</t>
        </is>
      </c>
      <c r="E113" s="31" t="inlineStr">
        <is>
          <t>Access Control</t>
        </is>
      </c>
      <c r="F113" s="30" t="inlineStr">
        <is>
          <t>Periodically removes expired/revoked refresh tokens.</t>
        </is>
      </c>
      <c r="G113" s="63" t="inlineStr">
        <is>
          <t>Simple</t>
        </is>
      </c>
      <c r="H113" s="76" t="n">
        <v>3</v>
      </c>
      <c r="I113" s="72" t="inlineStr">
        <is>
          <t>Iteration 1</t>
        </is>
      </c>
      <c r="J113" s="74" t="inlineStr">
        <is>
          <t>DucNH</t>
        </is>
      </c>
      <c r="K113" s="74" t="n"/>
      <c r="L113" s="67" t="inlineStr">
        <is>
          <t>Done</t>
        </is>
      </c>
      <c r="M113" s="74" t="n"/>
      <c r="N113" s="1" t="n"/>
      <c r="O113" s="1" t="n"/>
      <c r="P113" s="1" t="n"/>
      <c r="Q113" s="1" t="n"/>
      <c r="R113" s="1" t="n"/>
      <c r="S113" s="1" t="n"/>
      <c r="T113" s="1" t="n"/>
      <c r="U113" s="1" t="n"/>
      <c r="V113" s="1" t="n"/>
      <c r="W113" s="1" t="n"/>
      <c r="X113" s="1" t="n"/>
      <c r="Y113" s="1" t="n"/>
      <c r="Z113" s="1" t="n"/>
      <c r="AA113" s="1" t="n"/>
    </row>
    <row r="114" ht="15.75" customHeight="1" s="118">
      <c r="A114" s="40" t="n">
        <v>110</v>
      </c>
      <c r="B114" s="27" t="inlineStr">
        <is>
          <t>View system events list</t>
        </is>
      </c>
      <c r="C114" s="29" t="inlineStr">
        <is>
          <t>Screen</t>
        </is>
      </c>
      <c r="D114" s="30" t="inlineStr">
        <is>
          <t>FE-07: Event Log &amp; Audit Trail</t>
        </is>
      </c>
      <c r="E114" s="31" t="inlineStr">
        <is>
          <t>System Logs</t>
        </is>
      </c>
      <c r="F114" s="30" t="inlineStr">
        <is>
          <t>Display a generic, paginated list of all system logs.</t>
        </is>
      </c>
      <c r="G114" s="68" t="inlineStr">
        <is>
          <t>Simple</t>
        </is>
      </c>
      <c r="H114" s="76" t="n">
        <v>3</v>
      </c>
      <c r="I114" s="72" t="inlineStr">
        <is>
          <t>Iteration 3</t>
        </is>
      </c>
      <c r="J114" s="74" t="inlineStr">
        <is>
          <t>DucNH</t>
        </is>
      </c>
      <c r="K114" s="74" t="n"/>
      <c r="L114" s="70" t="inlineStr">
        <is>
          <t>Cancelled</t>
        </is>
      </c>
      <c r="M114" s="74" t="n"/>
      <c r="N114" s="1" t="n"/>
      <c r="O114" s="1" t="n"/>
      <c r="P114" s="1" t="n"/>
      <c r="Q114" s="1" t="n"/>
      <c r="R114" s="1" t="n"/>
      <c r="S114" s="1" t="n"/>
      <c r="T114" s="1" t="n"/>
      <c r="U114" s="1" t="n"/>
      <c r="V114" s="1" t="n"/>
      <c r="W114" s="1" t="n"/>
      <c r="X114" s="1" t="n"/>
      <c r="Y114" s="1" t="n"/>
      <c r="Z114" s="1" t="n"/>
      <c r="AA114" s="1" t="n"/>
    </row>
    <row r="115" ht="15.75" customHeight="1" s="118">
      <c r="A115" s="26" t="n">
        <v>111</v>
      </c>
      <c r="B115" s="27" t="inlineStr">
        <is>
          <t>View system event details</t>
        </is>
      </c>
      <c r="C115" s="29" t="inlineStr">
        <is>
          <t>Screen</t>
        </is>
      </c>
      <c r="D115" s="30" t="inlineStr">
        <is>
          <t>FE-07: Event Log &amp; Audit Trail</t>
        </is>
      </c>
      <c r="E115" s="31" t="inlineStr">
        <is>
          <t>System Logs</t>
        </is>
      </c>
      <c r="F115" s="30" t="inlineStr">
        <is>
          <t>Show deep metadata and payloads for a specific system event.</t>
        </is>
      </c>
      <c r="G115" s="68" t="inlineStr">
        <is>
          <t>Simple</t>
        </is>
      </c>
      <c r="H115" s="76" t="n">
        <v>3</v>
      </c>
      <c r="I115" s="72" t="inlineStr">
        <is>
          <t>Iteration 3</t>
        </is>
      </c>
      <c r="J115" s="74" t="inlineStr">
        <is>
          <t>DucNH</t>
        </is>
      </c>
      <c r="K115" s="74" t="n"/>
      <c r="L115" s="70" t="inlineStr">
        <is>
          <t>Cancelled</t>
        </is>
      </c>
      <c r="M115" s="74" t="n"/>
      <c r="N115" s="1" t="n"/>
      <c r="O115" s="1" t="n"/>
      <c r="P115" s="1" t="n"/>
      <c r="Q115" s="1" t="n"/>
      <c r="R115" s="1" t="n"/>
      <c r="S115" s="1" t="n"/>
      <c r="T115" s="1" t="n"/>
      <c r="U115" s="1" t="n"/>
      <c r="V115" s="1" t="n"/>
      <c r="W115" s="1" t="n"/>
      <c r="X115" s="1" t="n"/>
      <c r="Y115" s="1" t="n"/>
      <c r="Z115" s="1" t="n"/>
      <c r="AA115" s="1" t="n"/>
    </row>
    <row r="116" ht="14.25" customHeight="1" s="118">
      <c r="A116" s="40" t="n">
        <v>112</v>
      </c>
      <c r="B116" s="27" t="inlineStr">
        <is>
          <t>Search system events</t>
        </is>
      </c>
      <c r="C116" s="29" t="inlineStr">
        <is>
          <t>Screen</t>
        </is>
      </c>
      <c r="D116" s="30" t="inlineStr">
        <is>
          <t>FE-07: Event Log &amp; Audit Trail</t>
        </is>
      </c>
      <c r="E116" s="31" t="inlineStr">
        <is>
          <t>System Logs</t>
        </is>
      </c>
      <c r="F116" s="30" t="inlineStr">
        <is>
          <t>Search logs by keyword, ID, or timestamp.</t>
        </is>
      </c>
      <c r="G116" s="68" t="inlineStr">
        <is>
          <t>Simple</t>
        </is>
      </c>
      <c r="H116" s="76" t="n">
        <v>3</v>
      </c>
      <c r="I116" s="72" t="inlineStr">
        <is>
          <t>Iteration 3</t>
        </is>
      </c>
      <c r="J116" s="74" t="inlineStr">
        <is>
          <t>DucNH</t>
        </is>
      </c>
      <c r="K116" s="74" t="n"/>
      <c r="L116" s="70" t="inlineStr">
        <is>
          <t>Cancelled</t>
        </is>
      </c>
      <c r="M116" s="74" t="n"/>
      <c r="N116" s="1" t="n"/>
      <c r="O116" s="1" t="n"/>
      <c r="P116" s="1" t="n"/>
      <c r="Q116" s="1" t="n"/>
      <c r="R116" s="1" t="n"/>
      <c r="S116" s="1" t="n"/>
      <c r="T116" s="1" t="n"/>
      <c r="U116" s="1" t="n"/>
      <c r="V116" s="1" t="n"/>
      <c r="W116" s="1" t="n"/>
      <c r="X116" s="1" t="n"/>
      <c r="Y116" s="1" t="n"/>
      <c r="Z116" s="1" t="n"/>
      <c r="AA116" s="1" t="n"/>
    </row>
    <row r="117" ht="14.25" customHeight="1" s="118">
      <c r="A117" s="26" t="n">
        <v>113</v>
      </c>
      <c r="B117" s="27" t="inlineStr">
        <is>
          <t>Filter system events</t>
        </is>
      </c>
      <c r="C117" s="29" t="inlineStr">
        <is>
          <t>Screen</t>
        </is>
      </c>
      <c r="D117" s="30" t="inlineStr">
        <is>
          <t>FE-07: Event Log &amp; Audit Trail</t>
        </is>
      </c>
      <c r="E117" s="31" t="inlineStr">
        <is>
          <t>System Logs</t>
        </is>
      </c>
      <c r="F117" s="30" t="inlineStr">
        <is>
          <t>Filter logs by severity (Info, Warning, Error) or module.</t>
        </is>
      </c>
      <c r="G117" s="68" t="inlineStr">
        <is>
          <t>Simple</t>
        </is>
      </c>
      <c r="H117" s="76" t="n">
        <v>3</v>
      </c>
      <c r="I117" s="72" t="inlineStr">
        <is>
          <t>Iteration 3</t>
        </is>
      </c>
      <c r="J117" s="74" t="inlineStr">
        <is>
          <t>DucNH</t>
        </is>
      </c>
      <c r="K117" s="74" t="n"/>
      <c r="L117" s="70" t="inlineStr">
        <is>
          <t>Cancelled</t>
        </is>
      </c>
      <c r="M117" s="74" t="n"/>
      <c r="N117" s="1" t="n"/>
      <c r="O117" s="1" t="n"/>
      <c r="P117" s="1" t="n"/>
      <c r="Q117" s="1" t="n"/>
      <c r="R117" s="1" t="n"/>
      <c r="S117" s="1" t="n"/>
      <c r="T117" s="1" t="n"/>
      <c r="U117" s="1" t="n"/>
      <c r="V117" s="1" t="n"/>
      <c r="W117" s="1" t="n"/>
      <c r="X117" s="1" t="n"/>
      <c r="Y117" s="1" t="n"/>
      <c r="Z117" s="1" t="n"/>
      <c r="AA117" s="1" t="n"/>
    </row>
    <row r="118" ht="15.75" customHeight="1" s="118">
      <c r="A118" s="40" t="n">
        <v>114</v>
      </c>
      <c r="B118" s="27" t="inlineStr">
        <is>
          <t>View AGV change history</t>
        </is>
      </c>
      <c r="C118" s="29" t="inlineStr">
        <is>
          <t>Screen</t>
        </is>
      </c>
      <c r="D118" s="30" t="inlineStr">
        <is>
          <t>FE-07: Event Log &amp; Audit Trail</t>
        </is>
      </c>
      <c r="E118" s="31" t="inlineStr">
        <is>
          <t>Entity Audit</t>
        </is>
      </c>
      <c r="F118" s="30" t="inlineStr">
        <is>
          <t>Track modifications made to AGV profiles or settings.</t>
        </is>
      </c>
      <c r="G118" s="63" t="inlineStr">
        <is>
          <t>Medium</t>
        </is>
      </c>
      <c r="H118" s="76" t="n">
        <v>5</v>
      </c>
      <c r="I118" s="72" t="inlineStr">
        <is>
          <t>Iteration 3</t>
        </is>
      </c>
      <c r="J118" s="74" t="inlineStr">
        <is>
          <t>DucNH</t>
        </is>
      </c>
      <c r="K118" s="74" t="n"/>
      <c r="L118" s="70" t="inlineStr">
        <is>
          <t>Done</t>
        </is>
      </c>
      <c r="M118" s="74" t="n"/>
      <c r="N118" s="1" t="n"/>
      <c r="O118" s="1" t="n"/>
      <c r="P118" s="1" t="n"/>
      <c r="Q118" s="1" t="n"/>
      <c r="R118" s="1" t="n"/>
      <c r="S118" s="1" t="n"/>
      <c r="T118" s="1" t="n"/>
      <c r="U118" s="1" t="n"/>
      <c r="V118" s="1" t="n"/>
      <c r="W118" s="1" t="n"/>
      <c r="X118" s="1" t="n"/>
      <c r="Y118" s="1" t="n"/>
      <c r="Z118" s="1" t="n"/>
      <c r="AA118" s="1" t="n"/>
    </row>
    <row r="119" ht="29.25" customHeight="1" s="118">
      <c r="A119" s="26" t="n">
        <v>115</v>
      </c>
      <c r="B119" s="27" t="inlineStr">
        <is>
          <t>View topology change history</t>
        </is>
      </c>
      <c r="C119" s="29" t="inlineStr">
        <is>
          <t>Screen</t>
        </is>
      </c>
      <c r="D119" s="30" t="inlineStr">
        <is>
          <t>FE-07: Event Log &amp; Audit Trail</t>
        </is>
      </c>
      <c r="E119" s="31" t="inlineStr">
        <is>
          <t>Entity Audit</t>
        </is>
      </c>
      <c r="F119" s="30" t="inlineStr">
        <is>
          <t>Track map, point, path, or block configuration changes.</t>
        </is>
      </c>
      <c r="G119" s="63" t="inlineStr">
        <is>
          <t>Medium</t>
        </is>
      </c>
      <c r="H119" s="76" t="n">
        <v>5</v>
      </c>
      <c r="I119" s="72" t="inlineStr">
        <is>
          <t>Iteration 3</t>
        </is>
      </c>
      <c r="J119" s="74" t="inlineStr">
        <is>
          <t>DucNH</t>
        </is>
      </c>
      <c r="K119" s="74" t="n"/>
      <c r="L119" s="70" t="inlineStr">
        <is>
          <t>Done</t>
        </is>
      </c>
      <c r="M119" s="74" t="n"/>
      <c r="N119" s="1" t="n"/>
      <c r="O119" s="1" t="n"/>
      <c r="P119" s="1" t="n"/>
      <c r="Q119" s="1" t="n"/>
      <c r="R119" s="1" t="n"/>
      <c r="S119" s="1" t="n"/>
      <c r="T119" s="1" t="n"/>
      <c r="U119" s="1" t="n"/>
      <c r="V119" s="1" t="n"/>
      <c r="W119" s="1" t="n"/>
      <c r="X119" s="1" t="n"/>
      <c r="Y119" s="1" t="n"/>
      <c r="Z119" s="1" t="n"/>
      <c r="AA119" s="1" t="n"/>
    </row>
    <row r="120" ht="19.5" customHeight="1" s="118">
      <c r="A120" s="40" t="n">
        <v>116</v>
      </c>
      <c r="B120" s="27" t="inlineStr">
        <is>
          <t>View dispatch configuration change history</t>
        </is>
      </c>
      <c r="C120" s="29" t="inlineStr">
        <is>
          <t>Screen</t>
        </is>
      </c>
      <c r="D120" s="30" t="inlineStr">
        <is>
          <t>FE-07: Event Log &amp; Audit Trail</t>
        </is>
      </c>
      <c r="E120" s="31" t="inlineStr">
        <is>
          <t>Entity Audit</t>
        </is>
      </c>
      <c r="F120" s="30" t="inlineStr">
        <is>
          <t>Audit log of who changed routing or dispatch rules and when.</t>
        </is>
      </c>
      <c r="G120" s="63" t="inlineStr">
        <is>
          <t>Medium</t>
        </is>
      </c>
      <c r="H120" s="76" t="n">
        <v>5</v>
      </c>
      <c r="I120" s="72" t="inlineStr">
        <is>
          <t>Iteration 3</t>
        </is>
      </c>
      <c r="J120" s="74" t="inlineStr">
        <is>
          <t>DucNH</t>
        </is>
      </c>
      <c r="K120" s="74" t="n"/>
      <c r="L120" s="70" t="inlineStr">
        <is>
          <t>Done</t>
        </is>
      </c>
      <c r="M120" s="74" t="n"/>
      <c r="N120" s="1" t="n"/>
      <c r="O120" s="1" t="n"/>
      <c r="P120" s="1" t="n"/>
      <c r="Q120" s="1" t="n"/>
      <c r="R120" s="1" t="n"/>
      <c r="S120" s="1" t="n"/>
      <c r="T120" s="1" t="n"/>
      <c r="U120" s="1" t="n"/>
      <c r="V120" s="1" t="n"/>
      <c r="W120" s="1" t="n"/>
      <c r="X120" s="1" t="n"/>
      <c r="Y120" s="1" t="n"/>
      <c r="Z120" s="1" t="n"/>
      <c r="AA120" s="1" t="n"/>
    </row>
    <row r="121" ht="19.5" customHeight="1" s="118">
      <c r="A121" s="26" t="n">
        <v>117</v>
      </c>
      <c r="B121" s="27" t="inlineStr">
        <is>
          <t>View user action history</t>
        </is>
      </c>
      <c r="C121" s="29" t="inlineStr">
        <is>
          <t>Screen</t>
        </is>
      </c>
      <c r="D121" s="30" t="inlineStr">
        <is>
          <t>FE-07: Event Log &amp; Audit Trail</t>
        </is>
      </c>
      <c r="E121" s="31" t="inlineStr">
        <is>
          <t>User Audit</t>
        </is>
      </c>
      <c r="F121" s="30" t="inlineStr">
        <is>
          <t>Track explicit actions performed by an Operator or Admin.</t>
        </is>
      </c>
      <c r="G121" s="63" t="inlineStr">
        <is>
          <t>Medium</t>
        </is>
      </c>
      <c r="H121" s="76" t="n">
        <v>5</v>
      </c>
      <c r="I121" s="72" t="inlineStr">
        <is>
          <t>Iteration 3</t>
        </is>
      </c>
      <c r="J121" s="74" t="inlineStr">
        <is>
          <t>DucNH</t>
        </is>
      </c>
      <c r="K121" s="74" t="n"/>
      <c r="L121" s="70" t="inlineStr">
        <is>
          <t>Done</t>
        </is>
      </c>
      <c r="M121" s="74" t="n"/>
      <c r="N121" s="1" t="n"/>
      <c r="O121" s="1" t="n"/>
      <c r="P121" s="1" t="n"/>
      <c r="Q121" s="1" t="n"/>
      <c r="R121" s="1" t="n"/>
      <c r="S121" s="1" t="n"/>
      <c r="T121" s="1" t="n"/>
      <c r="U121" s="1" t="n"/>
      <c r="V121" s="1" t="n"/>
      <c r="W121" s="1" t="n"/>
      <c r="X121" s="1" t="n"/>
      <c r="Y121" s="1" t="n"/>
      <c r="Z121" s="1" t="n"/>
      <c r="AA121" s="1" t="n"/>
    </row>
    <row r="122">
      <c r="A122" s="40" t="n">
        <v>118</v>
      </c>
      <c r="B122" s="27" t="inlineStr">
        <is>
          <t>View details of a user session</t>
        </is>
      </c>
      <c r="C122" s="29" t="inlineStr">
        <is>
          <t>Screen</t>
        </is>
      </c>
      <c r="D122" s="30" t="inlineStr">
        <is>
          <t>FE-07: Event Log &amp; Audit Trail</t>
        </is>
      </c>
      <c r="E122" s="31" t="inlineStr">
        <is>
          <t>User Audit</t>
        </is>
      </c>
      <c r="F122" s="30" t="inlineStr">
        <is>
          <t>Show login times, IP, and actions within a specific session.</t>
        </is>
      </c>
      <c r="G122" s="63" t="inlineStr">
        <is>
          <t>Medium</t>
        </is>
      </c>
      <c r="H122" s="76" t="n">
        <v>5</v>
      </c>
      <c r="I122" s="72" t="inlineStr">
        <is>
          <t>Iteration 3</t>
        </is>
      </c>
      <c r="J122" s="74" t="inlineStr">
        <is>
          <t>DucNH</t>
        </is>
      </c>
      <c r="K122" s="74" t="n"/>
      <c r="L122" s="70" t="inlineStr">
        <is>
          <t>Done</t>
        </is>
      </c>
      <c r="M122" s="74" t="n"/>
      <c r="N122" s="1" t="n"/>
      <c r="O122" s="1" t="n"/>
      <c r="P122" s="1" t="n"/>
      <c r="Q122" s="1" t="n"/>
      <c r="R122" s="1" t="n"/>
      <c r="S122" s="1" t="n"/>
      <c r="T122" s="1" t="n"/>
      <c r="U122" s="1" t="n"/>
      <c r="V122" s="1" t="n"/>
      <c r="W122" s="1" t="n"/>
      <c r="X122" s="1" t="n"/>
      <c r="Y122" s="1" t="n"/>
      <c r="Z122" s="1" t="n"/>
      <c r="AA122" s="1" t="n"/>
    </row>
    <row r="123">
      <c r="A123" s="26" t="n">
        <v>119</v>
      </c>
      <c r="B123" s="27" t="inlineStr">
        <is>
          <t>Export system log report</t>
        </is>
      </c>
      <c r="C123" s="59" t="inlineStr">
        <is>
          <t>Non-UI</t>
        </is>
      </c>
      <c r="D123" s="30" t="inlineStr">
        <is>
          <t>FE-07: Event Log &amp; Audit Trail</t>
        </is>
      </c>
      <c r="E123" s="31" t="inlineStr">
        <is>
          <t>Export</t>
        </is>
      </c>
      <c r="F123" s="30" t="inlineStr">
        <is>
          <t>Generate and download a CSV/PDF report of system logs.</t>
        </is>
      </c>
      <c r="G123" s="63" t="inlineStr">
        <is>
          <t>Medium</t>
        </is>
      </c>
      <c r="H123" s="76" t="n">
        <v>5</v>
      </c>
      <c r="I123" s="72" t="inlineStr">
        <is>
          <t>Iteration 3</t>
        </is>
      </c>
      <c r="J123" s="74" t="inlineStr">
        <is>
          <t>DucNH</t>
        </is>
      </c>
      <c r="K123" s="74" t="n"/>
      <c r="L123" s="70" t="inlineStr">
        <is>
          <t>Done</t>
        </is>
      </c>
      <c r="M123" s="74" t="n"/>
      <c r="N123" s="1" t="n"/>
      <c r="O123" s="1" t="n"/>
      <c r="P123" s="1" t="n"/>
      <c r="Q123" s="1" t="n"/>
      <c r="R123" s="1" t="n"/>
      <c r="S123" s="1" t="n"/>
      <c r="T123" s="1" t="n"/>
      <c r="U123" s="1" t="n"/>
      <c r="V123" s="1" t="n"/>
      <c r="W123" s="1" t="n"/>
      <c r="X123" s="1" t="n"/>
      <c r="Y123" s="1" t="n"/>
      <c r="Z123" s="1" t="n"/>
      <c r="AA123" s="1" t="n"/>
    </row>
    <row r="124" ht="14.25" customHeight="1" s="118">
      <c r="A124" s="26" t="n">
        <v>120</v>
      </c>
      <c r="B124" s="27" t="inlineStr">
        <is>
          <t>Audit Log Writer</t>
        </is>
      </c>
      <c r="C124" s="59" t="inlineStr">
        <is>
          <t>Non-UI</t>
        </is>
      </c>
      <c r="D124" s="30" t="inlineStr">
        <is>
          <t>FE-07: Event Log &amp; Audit Trail</t>
        </is>
      </c>
      <c r="E124" s="31" t="inlineStr">
        <is>
          <t>Entity Audit</t>
        </is>
      </c>
      <c r="F124" s="30" t="inlineStr">
        <is>
          <t>Records Admin create/update/delete into audit_logs.</t>
        </is>
      </c>
      <c r="G124" s="63" t="inlineStr">
        <is>
          <t>Medium</t>
        </is>
      </c>
      <c r="H124" s="76" t="n">
        <v>5</v>
      </c>
      <c r="I124" s="72" t="inlineStr">
        <is>
          <t>Iteration 3</t>
        </is>
      </c>
      <c r="J124" s="74" t="inlineStr">
        <is>
          <t>DucNH</t>
        </is>
      </c>
      <c r="K124" s="74" t="n"/>
      <c r="L124" s="70" t="inlineStr">
        <is>
          <t>Done</t>
        </is>
      </c>
      <c r="M124" s="74" t="n"/>
      <c r="N124" s="1" t="n"/>
      <c r="O124" s="1" t="n"/>
      <c r="P124" s="1" t="n"/>
      <c r="Q124" s="1" t="n"/>
      <c r="R124" s="1" t="n"/>
      <c r="S124" s="1" t="n"/>
      <c r="T124" s="1" t="n"/>
      <c r="U124" s="1" t="n"/>
      <c r="V124" s="1" t="n"/>
      <c r="W124" s="1" t="n"/>
      <c r="X124" s="1" t="n"/>
      <c r="Y124" s="1" t="n"/>
      <c r="Z124" s="1" t="n"/>
      <c r="AA124" s="1" t="n"/>
    </row>
    <row r="125" ht="14.25" customHeight="1" s="118">
      <c r="A125" s="26" t="n">
        <v>121</v>
      </c>
      <c r="B125" s="27" t="inlineStr">
        <is>
          <t>Event Log Writer</t>
        </is>
      </c>
      <c r="C125" s="59" t="inlineStr">
        <is>
          <t>Non-UI</t>
        </is>
      </c>
      <c r="D125" s="30" t="inlineStr">
        <is>
          <t>FE-07: Event Log &amp; Audit Trail</t>
        </is>
      </c>
      <c r="E125" s="31" t="inlineStr">
        <is>
          <t>System Logs</t>
        </is>
      </c>
      <c r="F125" s="30" t="inlineStr">
        <is>
          <t>Records diagnostic/error events by module and severity.</t>
        </is>
      </c>
      <c r="G125" s="63" t="inlineStr">
        <is>
          <t>Medium</t>
        </is>
      </c>
      <c r="H125" s="76" t="n">
        <v>5</v>
      </c>
      <c r="I125" s="72" t="inlineStr">
        <is>
          <t>Iteration 3</t>
        </is>
      </c>
      <c r="J125" s="74" t="inlineStr">
        <is>
          <t>DucNH</t>
        </is>
      </c>
      <c r="K125" s="74" t="n"/>
      <c r="L125" s="70" t="inlineStr">
        <is>
          <t>Cancelled</t>
        </is>
      </c>
      <c r="M125" s="74" t="n"/>
      <c r="N125" s="1" t="n"/>
      <c r="O125" s="1" t="n"/>
      <c r="P125" s="1" t="n"/>
      <c r="Q125" s="1" t="n"/>
      <c r="R125" s="1" t="n"/>
      <c r="S125" s="1" t="n"/>
      <c r="T125" s="1" t="n"/>
      <c r="U125" s="1" t="n"/>
      <c r="V125" s="1" t="n"/>
      <c r="W125" s="1" t="n"/>
      <c r="X125" s="1" t="n"/>
      <c r="Y125" s="1" t="n"/>
      <c r="Z125" s="1" t="n"/>
      <c r="AA125" s="1" t="n"/>
    </row>
    <row r="126" ht="14.25" customHeight="1" s="118">
      <c r="A126" s="26" t="n">
        <v>122</v>
      </c>
      <c r="B126" s="27" t="inlineStr">
        <is>
          <t>LaCAM* multi-agent router</t>
        </is>
      </c>
      <c r="C126" s="59" t="inlineStr">
        <is>
          <t>Non-UI</t>
        </is>
      </c>
      <c r="D126" s="30" t="inlineStr">
        <is>
          <t>FE-08: Multi-Agent Traffic Coordination (FMS)</t>
        </is>
      </c>
      <c r="E126" s="31" t="inlineStr">
        <is>
          <t>Route Planning</t>
        </is>
      </c>
      <c r="F126" s="30" t="inlineStr">
        <is>
          <t>Thay router Dijkstra từng xe của openTCS bằng bộ lập lịch đa tác tử LaCAM* chạy trong kernel FMS, tính quỹ đạo không-thời gian cho cả đội xe theo cửa sổ trượt nên xung đột đối đầu và chồng lấn tuyến được giải quyết trước khi phát lệnh di chuyển.</t>
        </is>
      </c>
      <c r="G126" s="63" t="inlineStr">
        <is>
          <t>Complex</t>
        </is>
      </c>
      <c r="H126" s="76" t="n">
        <v>14</v>
      </c>
      <c r="I126" s="72" t="inlineStr">
        <is>
          <t>Iteration 2</t>
        </is>
      </c>
      <c r="J126" s="74" t="inlineStr">
        <is>
          <t>HungPV, DucNH</t>
        </is>
      </c>
      <c r="K126" s="74" t="n"/>
      <c r="L126" s="67" t="inlineStr">
        <is>
          <t>Done</t>
        </is>
      </c>
      <c r="M126" s="74" t="n"/>
      <c r="N126" s="1" t="n"/>
      <c r="O126" s="1" t="n"/>
      <c r="P126" s="1" t="n"/>
      <c r="Q126" s="1" t="n"/>
      <c r="R126" s="1" t="n"/>
      <c r="S126" s="1" t="n"/>
      <c r="T126" s="1" t="n"/>
      <c r="U126" s="1" t="n"/>
      <c r="V126" s="1" t="n"/>
      <c r="W126" s="1" t="n"/>
      <c r="X126" s="1" t="n"/>
      <c r="Y126" s="1" t="n"/>
      <c r="Z126" s="1" t="n"/>
      <c r="AA126" s="1" t="n"/>
    </row>
    <row r="127" ht="14.25" customHeight="1" s="118">
      <c r="A127" s="26" t="n">
        <v>123</v>
      </c>
      <c r="B127" s="27" t="inlineStr">
        <is>
          <t>ADG per-visit precedence enforcement</t>
        </is>
      </c>
      <c r="C127" s="59" t="inlineStr">
        <is>
          <t>Non-UI</t>
        </is>
      </c>
      <c r="D127" s="30" t="inlineStr">
        <is>
          <t>FE-08: Multi-Agent Traffic Coordination (FMS)</t>
        </is>
      </c>
      <c r="E127" s="31" t="inlineStr">
        <is>
          <t>Traffic Control</t>
        </is>
      </c>
      <c r="F127" s="30" t="inlineStr">
        <is>
          <t>Áp đặt thứ tự đi qua từng điểm bằng cách từ chối cấp phát tài nguyên trong Scheduler.Module thay vì chèn điểm chờ vào tuyến: khi một xe xin cấp điểm mà thứ tự thăm xếp xe khác đi trước, module từ chối cấp và xe giữ nguyên vị trí cho tới khi xe đi trước đã qua. Các điểm nằm trong block một-xe được bỏ qua vì luật block sẵn có đã quản lý. Thứ tự thăm được sinh từ đồ thị phụ thuộc hành động (ADG) dựng trên các bước tuyến liên tiếp của mỗi xe cộng cạnh chéo giữa các xe cùng thăm một điểm, xếp theo thời điểm tới.</t>
        </is>
      </c>
      <c r="G127" s="63" t="inlineStr">
        <is>
          <t>Complex</t>
        </is>
      </c>
      <c r="H127" s="76" t="n">
        <v>14</v>
      </c>
      <c r="I127" s="72" t="inlineStr">
        <is>
          <t>Iteration 2</t>
        </is>
      </c>
      <c r="J127" s="74" t="inlineStr">
        <is>
          <t>HungPV, DucNH</t>
        </is>
      </c>
      <c r="K127" s="74" t="n"/>
      <c r="L127" s="67" t="inlineStr">
        <is>
          <t>Done</t>
        </is>
      </c>
      <c r="M127" s="74" t="n"/>
      <c r="N127" s="1" t="n"/>
      <c r="O127" s="1" t="n"/>
      <c r="P127" s="1" t="n"/>
      <c r="Q127" s="1" t="n"/>
      <c r="R127" s="1" t="n"/>
      <c r="S127" s="1" t="n"/>
      <c r="T127" s="1" t="n"/>
      <c r="U127" s="1" t="n"/>
      <c r="V127" s="1" t="n"/>
      <c r="W127" s="1" t="n"/>
      <c r="X127" s="1" t="n"/>
      <c r="Y127" s="1" t="n"/>
      <c r="Z127" s="1" t="n"/>
      <c r="AA127" s="1" t="n"/>
    </row>
    <row r="128" ht="14.25" customHeight="1" s="118">
      <c r="A128" s="26" t="n">
        <v>124</v>
      </c>
      <c r="B128" s="27" t="inlineStr">
        <is>
          <t>Fleet re-solve pacing &amp; plan retention</t>
        </is>
      </c>
      <c r="C128" s="59" t="inlineStr">
        <is>
          <t>Non-UI</t>
        </is>
      </c>
      <c r="D128" s="30" t="inlineStr">
        <is>
          <t>FE-08: Multi-Agent Traffic Coordination (FMS)</t>
        </is>
      </c>
      <c r="E128" s="31" t="inlineStr">
        <is>
          <t>Route Planning</t>
        </is>
      </c>
      <c r="F128" s="30" t="inlineStr">
        <is>
          <t>Điều tiết nhịp giải lại cho cả đội xe và quyết định khi nào plan bị thay thế. Giải lại được debounce bằng fms.mapf.debounceMs (mặc định 1.000 ms) và bị ép giải khi plan đã commit quá fms.mapf.commitMs (mặc định 3.500 ms), kiểm tra trên tick một giây; ngoài ra còn giải lại khi goal đổi, tập xe bất động đổi, hoặc xe lệch khỏi plan. Khi solver không trả về lời giải, coordinator giữ nguyên thứ tự precedence đã commit, ghi log tuổi của plan và giải lại ở tick sau thay vì cài đặt plan rỗng.</t>
        </is>
      </c>
      <c r="G128" s="63" t="inlineStr">
        <is>
          <t>Complex</t>
        </is>
      </c>
      <c r="H128" s="76" t="n">
        <v>14</v>
      </c>
      <c r="I128" s="72" t="inlineStr">
        <is>
          <t>Iteration 2</t>
        </is>
      </c>
      <c r="J128" s="74" t="inlineStr">
        <is>
          <t>HungPV, DucNH</t>
        </is>
      </c>
      <c r="K128" s="74" t="n"/>
      <c r="L128" s="67" t="inlineStr">
        <is>
          <t>Done</t>
        </is>
      </c>
      <c r="M128" s="74" t="n"/>
      <c r="N128" s="1" t="n"/>
      <c r="O128" s="1" t="n"/>
      <c r="P128" s="1" t="n"/>
      <c r="Q128" s="1" t="n"/>
      <c r="R128" s="1" t="n"/>
      <c r="S128" s="1" t="n"/>
      <c r="T128" s="1" t="n"/>
      <c r="U128" s="1" t="n"/>
      <c r="V128" s="1" t="n"/>
      <c r="W128" s="1" t="n"/>
      <c r="X128" s="1" t="n"/>
      <c r="Y128" s="1" t="n"/>
      <c r="Z128" s="1" t="n"/>
      <c r="AA128" s="1" t="n"/>
    </row>
    <row r="129" ht="14.25" customHeight="1" s="118">
      <c r="A129" s="26" t="n">
        <v>125</v>
      </c>
      <c r="B129" s="27" t="inlineStr">
        <is>
          <t>PIBT engine + anti-starvation priority</t>
        </is>
      </c>
      <c r="C129" s="59" t="inlineStr">
        <is>
          <t>Non-UI</t>
        </is>
      </c>
      <c r="D129" s="30" t="inlineStr">
        <is>
          <t>FE-08: Multi-Agent Traffic Coordination (FMS)</t>
        </is>
      </c>
      <c r="E129" s="31" t="inlineStr">
        <is>
          <t>Route Planning</t>
        </is>
      </c>
      <c r="F129" s="30" t="inlineStr">
        <is>
          <t>PIBT (Priority Inheritance with Backtracking) sinh cấu hình bước kế tiếp không va chạm cho cả đội xe; vừa là bộ sinh mức thấp mà LaCAM gọi, vừa là đường lập kế hoạch độc lập trả kết quả gắn nhãn windowed-pibt. Ưu tiên tăng dần chống chết đói, đo tiến độ theo quãng tốt nhất đã đạt thay vì theo bước liền trước.</t>
        </is>
      </c>
      <c r="G129" s="63" t="inlineStr">
        <is>
          <t>Complex</t>
        </is>
      </c>
      <c r="H129" s="76" t="n">
        <v>14</v>
      </c>
      <c r="I129" s="72" t="inlineStr">
        <is>
          <t>Iteration 2</t>
        </is>
      </c>
      <c r="J129" s="74" t="inlineStr">
        <is>
          <t>HungPV, DucNH</t>
        </is>
      </c>
      <c r="K129" s="74" t="n"/>
      <c r="L129" s="67" t="inlineStr">
        <is>
          <t>Done</t>
        </is>
      </c>
      <c r="M129" s="74" t="n"/>
      <c r="N129" s="1" t="n"/>
      <c r="O129" s="1" t="n"/>
      <c r="P129" s="1" t="n"/>
      <c r="Q129" s="1" t="n"/>
      <c r="R129" s="1" t="n"/>
      <c r="S129" s="1" t="n"/>
      <c r="T129" s="1" t="n"/>
      <c r="U129" s="1" t="n"/>
      <c r="V129" s="1" t="n"/>
      <c r="W129" s="1" t="n"/>
      <c r="X129" s="1" t="n"/>
      <c r="Y129" s="1" t="n"/>
      <c r="Z129" s="1" t="n"/>
      <c r="AA129" s="1" t="n"/>
    </row>
    <row r="130" ht="14.25" customHeight="1" s="118">
      <c r="A130" s="26" t="n">
        <v>126</v>
      </c>
      <c r="B130" s="27" t="inlineStr">
        <is>
          <t>Goal claim &amp; resolution</t>
        </is>
      </c>
      <c r="C130" s="59" t="inlineStr">
        <is>
          <t>Non-UI</t>
        </is>
      </c>
      <c r="D130" s="30" t="inlineStr">
        <is>
          <t>FE-08: Multi-Agent Traffic Coordination (FMS)</t>
        </is>
      </c>
      <c r="E130" s="31" t="inlineStr">
        <is>
          <t>Traffic Control</t>
        </is>
      </c>
      <c r="F130" s="30" t="inlineStr">
        <is>
          <t>Cấp phát goal độc quyền cho từng xe trước khi giải MAPF: xếp hạng ứng viên theo khoảng cách trên roadmap, loại các đích không tới được, và bảo đảm không có hai xe nào cùng nhận một điểm đích trong một chu kỳ. Chính sách cấp phát tách riêng khỏi bộ giải nên có thể đổi mà không đụng vào thuật toán tìm đường.</t>
        </is>
      </c>
      <c r="G130" s="63" t="inlineStr">
        <is>
          <t>Complex</t>
        </is>
      </c>
      <c r="H130" s="76" t="n">
        <v>14</v>
      </c>
      <c r="I130" s="72" t="inlineStr">
        <is>
          <t>Iteration 2</t>
        </is>
      </c>
      <c r="J130" s="74" t="inlineStr">
        <is>
          <t>HungPV, DucNH</t>
        </is>
      </c>
      <c r="K130" s="74" t="n"/>
      <c r="L130" s="67" t="inlineStr">
        <is>
          <t>Done</t>
        </is>
      </c>
      <c r="M130" s="74" t="n"/>
      <c r="N130" s="1" t="n"/>
      <c r="O130" s="1" t="n"/>
      <c r="P130" s="1" t="n"/>
      <c r="Q130" s="1" t="n"/>
      <c r="R130" s="1" t="n"/>
      <c r="S130" s="1" t="n"/>
      <c r="T130" s="1" t="n"/>
      <c r="U130" s="1" t="n"/>
      <c r="V130" s="1" t="n"/>
      <c r="W130" s="1" t="n"/>
      <c r="X130" s="1" t="n"/>
      <c r="Y130" s="1" t="n"/>
      <c r="Z130" s="1" t="n"/>
      <c r="AA130" s="1" t="n"/>
    </row>
    <row r="131" ht="14.25" customHeight="1" s="118">
      <c r="A131" s="26" t="n">
        <v>127</v>
      </c>
      <c r="B131" s="27" t="inlineStr">
        <is>
          <t>Plant model to MAPF roadmap adapter</t>
        </is>
      </c>
      <c r="C131" s="59" t="inlineStr">
        <is>
          <t>Non-UI</t>
        </is>
      </c>
      <c r="D131" s="30" t="inlineStr">
        <is>
          <t>FE-08: Multi-Agent Traffic Coordination (FMS)</t>
        </is>
      </c>
      <c r="E131" s="31" t="inlineStr">
        <is>
          <t>Route Planning</t>
        </is>
      </c>
      <c r="F131" s="30" t="inlineStr">
        <is>
          <t>Dựng roadmap cho bộ giải MAPF từ PlantModel trong tiến trình của kernel: ánh xạ point, path, location và pose sang đồ thị không-thời gian mà LaCAM*/PIBT làm việc trên đó, giữ đúng chiều một chiều và loại các cạnh xe không đi được. Đây là ranh giới duy nhất giữa mô hình topo của openTCS và bộ giải.</t>
        </is>
      </c>
      <c r="G131" s="63" t="inlineStr">
        <is>
          <t>Complex</t>
        </is>
      </c>
      <c r="H131" s="76" t="n">
        <v>8</v>
      </c>
      <c r="I131" s="72" t="inlineStr">
        <is>
          <t>Iteration 2</t>
        </is>
      </c>
      <c r="J131" s="74" t="inlineStr">
        <is>
          <t>HungPV, DucNH</t>
        </is>
      </c>
      <c r="K131" s="74" t="n"/>
      <c r="L131" s="67" t="inlineStr">
        <is>
          <t>Done</t>
        </is>
      </c>
      <c r="M131" s="74" t="n"/>
      <c r="N131" s="1" t="n"/>
      <c r="O131" s="1" t="n"/>
      <c r="P131" s="1" t="n"/>
      <c r="Q131" s="1" t="n"/>
      <c r="R131" s="1" t="n"/>
      <c r="S131" s="1" t="n"/>
      <c r="T131" s="1" t="n"/>
      <c r="U131" s="1" t="n"/>
      <c r="V131" s="1" t="n"/>
      <c r="W131" s="1" t="n"/>
      <c r="X131" s="1" t="n"/>
      <c r="Y131" s="1" t="n"/>
      <c r="Z131" s="1" t="n"/>
      <c r="AA131" s="1" t="n"/>
    </row>
    <row r="132" ht="14.25" customHeight="1" s="118">
      <c r="A132" s="26" t="n">
        <v>128</v>
      </c>
      <c r="B132" s="27" t="inlineStr">
        <is>
          <t>Reroute drive-order merger</t>
        </is>
      </c>
      <c r="C132" s="59" t="inlineStr">
        <is>
          <t>Non-UI</t>
        </is>
      </c>
      <c r="D132" s="30" t="inlineStr">
        <is>
          <t>FE-08: Multi-Agent Traffic Coordination (FMS)</t>
        </is>
      </c>
      <c r="E132" s="31" t="inlineStr">
        <is>
          <t>Route Planning</t>
        </is>
      </c>
      <c r="F132" s="30" t="inlineStr">
        <is>
          <t>Khi phải định tuyến lại giữa chừng, nối tuyến mới vào phần xe đã cam kết đi thay vì thay toàn bộ drive order: neo tại điểm biên đã commit (vị trí hiện tại hoặc điểm kế tiếp xe đã nhận), nên tuyến sau khi ghép luôn liên tục và kernel không từ chối vì đứt đoạn.</t>
        </is>
      </c>
      <c r="G132" s="63" t="inlineStr">
        <is>
          <t>Complex</t>
        </is>
      </c>
      <c r="H132" s="76" t="n">
        <v>14</v>
      </c>
      <c r="I132" s="72" t="inlineStr">
        <is>
          <t>Iteration 2</t>
        </is>
      </c>
      <c r="J132" s="74" t="inlineStr">
        <is>
          <t>HungPV, DucNH</t>
        </is>
      </c>
      <c r="K132" s="74" t="n"/>
      <c r="L132" s="67" t="inlineStr">
        <is>
          <t>Done</t>
        </is>
      </c>
      <c r="M132" s="74" t="n"/>
      <c r="N132" s="1" t="n"/>
      <c r="O132" s="1" t="n"/>
      <c r="P132" s="1" t="n"/>
      <c r="Q132" s="1" t="n"/>
      <c r="R132" s="1" t="n"/>
      <c r="S132" s="1" t="n"/>
      <c r="T132" s="1" t="n"/>
      <c r="U132" s="1" t="n"/>
      <c r="V132" s="1" t="n"/>
      <c r="W132" s="1" t="n"/>
      <c r="X132" s="1" t="n"/>
      <c r="Y132" s="1" t="n"/>
      <c r="Z132" s="1" t="n"/>
      <c r="AA132" s="1" t="n"/>
    </row>
    <row r="133" ht="14.25" customHeight="1" s="118">
      <c r="A133" s="26" t="n">
        <v>129</v>
      </c>
      <c r="B133" s="27" t="inlineStr">
        <is>
          <t>openTCS component replacement (Dispatcher / Router / Scheduler)</t>
        </is>
      </c>
      <c r="C133" s="59" t="inlineStr">
        <is>
          <t>Non-UI</t>
        </is>
      </c>
      <c r="D133" s="30" t="inlineStr">
        <is>
          <t>FE-08: Multi-Agent Traffic Coordination (FMS)</t>
        </is>
      </c>
      <c r="E133" s="31" t="inlineStr">
        <is>
          <t>Traffic Control</t>
        </is>
      </c>
      <c r="F133" s="30" t="inlineStr">
        <is>
          <t>Thay ba thành phần chuẩn của openTCS bằng bản của FMS thông qua Guice binding trong kernel: Dispatcher, Router và Scheduler cùng module precedence, để MAPF điều phối được cả đội xe trong khi vẫn giữ nguyên vòng đời transport order và giao diện REST mà WES đang gọi.</t>
        </is>
      </c>
      <c r="G133" s="63" t="inlineStr">
        <is>
          <t>Complex</t>
        </is>
      </c>
      <c r="H133" s="76" t="n">
        <v>14</v>
      </c>
      <c r="I133" s="72" t="inlineStr">
        <is>
          <t>Iteration 2</t>
        </is>
      </c>
      <c r="J133" s="74" t="inlineStr">
        <is>
          <t>HungPV, DucNH</t>
        </is>
      </c>
      <c r="K133" s="74" t="n"/>
      <c r="L133" s="67" t="inlineStr">
        <is>
          <t>Done</t>
        </is>
      </c>
      <c r="M133" s="74" t="n"/>
      <c r="N133" s="1" t="n"/>
      <c r="O133" s="1" t="n"/>
      <c r="P133" s="1" t="n"/>
      <c r="Q133" s="1" t="n"/>
      <c r="R133" s="1" t="n"/>
      <c r="S133" s="1" t="n"/>
      <c r="T133" s="1" t="n"/>
      <c r="U133" s="1" t="n"/>
      <c r="V133" s="1" t="n"/>
      <c r="W133" s="1" t="n"/>
      <c r="X133" s="1" t="n"/>
      <c r="Y133" s="1" t="n"/>
      <c r="Z133" s="1" t="n"/>
      <c r="AA133" s="1" t="n"/>
    </row>
    <row r="134" ht="14.25" customHeight="1" s="118">
      <c r="A134" s="1" t="n"/>
      <c r="B134" s="77" t="inlineStr">
        <is>
          <t>Iteration Summary</t>
        </is>
      </c>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row>
    <row r="135" ht="14.25" customHeight="1" s="118">
      <c r="A135" s="78" t="n"/>
      <c r="B135" s="79" t="inlineStr">
        <is>
          <t>Iteration</t>
        </is>
      </c>
      <c r="C135" s="79" t="inlineStr">
        <is>
          <t>Planned Functions</t>
        </is>
      </c>
      <c r="D135" s="79" t="inlineStr">
        <is>
          <t>Est. Effort (pts)</t>
        </is>
      </c>
      <c r="E135" s="79" t="inlineStr">
        <is>
          <t>Done</t>
        </is>
      </c>
      <c r="F135" s="79" t="inlineStr">
        <is>
          <t>In Progress</t>
        </is>
      </c>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row>
    <row r="136" ht="14.25" customHeight="1" s="118">
      <c r="A136" s="80" t="n"/>
      <c r="B136" s="50" t="inlineStr">
        <is>
          <t>Iteration 1</t>
        </is>
      </c>
      <c r="C136" s="52">
        <f>COUNTIF($I$5:$I$1100,$B136)</f>
        <v/>
      </c>
      <c r="D136" s="52">
        <f>SUMIF($I$5:$I$1100,$B136,$H$5:$H$1100)</f>
        <v/>
      </c>
      <c r="E136" s="52">
        <f>COUNTIFS($I$5:$I$1100,$B136,$L$5:$L$1100,"Done")</f>
        <v/>
      </c>
      <c r="F136" s="81">
        <f>COUNTIFS($I$5:$I$1100,$B136,$L$5:$L$1100,"In Progress")</f>
        <v/>
      </c>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row>
    <row r="137" ht="14.25" customHeight="1" s="118">
      <c r="A137" s="62" t="n"/>
      <c r="B137" s="46" t="inlineStr">
        <is>
          <t>Iteration 2</t>
        </is>
      </c>
      <c r="C137" s="48">
        <f>COUNTIF($I$5:$I$1100,$B137)</f>
        <v/>
      </c>
      <c r="D137" s="48">
        <f>SUMIF($I$5:$I$1100,$B137,$H$5:$H$1100)</f>
        <v/>
      </c>
      <c r="E137" s="82">
        <f>COUNTIFS($I$5:$I$1100,$B137,$L$5:$L$1100,"Done")</f>
        <v/>
      </c>
      <c r="F137" s="82">
        <f>COUNTIFS($I$5:$I$1100,$B137,$L$5:$L$1100,"In Progress")</f>
        <v/>
      </c>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row>
    <row r="138" ht="14.25" customHeight="1" s="118">
      <c r="A138" s="80" t="n"/>
      <c r="B138" s="50" t="inlineStr">
        <is>
          <t>Iteration 3</t>
        </is>
      </c>
      <c r="C138" s="52">
        <f>COUNTIF($I$5:$I$1100,$B138)</f>
        <v/>
      </c>
      <c r="D138" s="52">
        <f>SUMIF($I$5:$I$1100,$B138,$H$5:$H$1100)</f>
        <v/>
      </c>
      <c r="E138" s="81">
        <f>COUNTIFS($I$5:$I$1100,$B138,$L$5:$L$1100,"Done")</f>
        <v/>
      </c>
      <c r="F138" s="81">
        <f>COUNTIFS($I$5:$I$1100,$B138,$L$5:$L$1100,"In Progress")</f>
        <v/>
      </c>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row>
    <row r="139" ht="14.25" customHeight="1" s="118">
      <c r="A139" s="83" t="n"/>
      <c r="B139" s="84" t="inlineStr">
        <is>
          <t>Grand Total</t>
        </is>
      </c>
      <c r="C139" s="44">
        <f>SUM(C136:C138)</f>
        <v/>
      </c>
      <c r="D139" s="44">
        <f>SUM(D136:D138)</f>
        <v/>
      </c>
      <c r="E139" s="44">
        <f>SUM(E136:E138)</f>
        <v/>
      </c>
      <c r="F139" s="44">
        <f>SUM(F136:F138)</f>
        <v/>
      </c>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row>
    <row r="140" ht="14.25" customHeight="1" s="1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row>
    <row r="141" ht="14.25" customHeight="1" s="1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row>
    <row r="142" ht="14.25" customHeight="1" s="1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row>
    <row r="143" ht="14.25" customHeight="1" s="1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row>
    <row r="144" ht="14.25" customHeight="1" s="1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row>
    <row r="145" ht="14.25" customHeight="1" s="1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row>
    <row r="146" ht="14.25" customHeight="1" s="1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row>
    <row r="147" ht="14.25" customHeight="1" s="1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row>
    <row r="148" ht="14.25" customHeight="1" s="1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row>
    <row r="149" ht="14.25" customHeight="1" s="1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row>
    <row r="150" ht="14.25" customHeight="1" s="1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row>
    <row r="151" ht="14.25" customHeight="1" s="1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row>
    <row r="152" ht="14.25" customHeight="1" s="1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row>
    <row r="153" ht="14.25" customHeight="1" s="1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row>
    <row r="154" ht="14.25" customHeight="1" s="1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row>
    <row r="155" ht="14.25" customHeight="1" s="1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row>
    <row r="156" ht="14.25" customHeight="1" s="1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row>
    <row r="157" ht="14.25" customHeight="1" s="1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row>
    <row r="158" ht="14.25" customHeight="1" s="1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row>
    <row r="159" ht="14.25" customHeight="1" s="1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row>
    <row r="160" ht="14.25" customHeight="1" s="1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row>
    <row r="161" ht="14.25" customHeight="1" s="1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row>
    <row r="162" ht="14.25" customHeight="1" s="1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row>
    <row r="163" ht="14.25" customHeight="1" s="1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row>
    <row r="164" ht="14.25" customHeight="1" s="1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row>
    <row r="165" ht="14.25" customHeight="1" s="1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row>
    <row r="166" ht="14.25" customHeight="1" s="1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row>
    <row r="167" ht="14.25" customHeight="1" s="1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row>
    <row r="168" ht="14.25" customHeight="1" s="1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row>
    <row r="169" ht="14.25" customHeight="1" s="1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row>
    <row r="170" ht="14.25" customHeight="1" s="1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row>
    <row r="171" ht="14.25" customHeight="1" s="1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row>
    <row r="172" ht="14.25" customHeight="1" s="1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row>
    <row r="173" ht="14.25" customHeight="1" s="1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row>
    <row r="174" ht="14.25" customHeight="1" s="1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row>
    <row r="175" ht="14.25" customHeight="1" s="1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row>
    <row r="176" ht="14.25" customHeight="1" s="1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row>
    <row r="177" ht="14.25" customHeight="1" s="1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row>
    <row r="178" ht="14.25" customHeight="1" s="1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row>
    <row r="179" ht="14.25" customHeight="1" s="1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row>
    <row r="180" ht="14.25" customHeight="1" s="1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row>
    <row r="181" ht="14.25" customHeight="1" s="1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row>
    <row r="182" ht="14.25" customHeight="1" s="1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row>
    <row r="183" ht="14.25" customHeight="1" s="1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row>
    <row r="184" ht="14.25" customHeight="1" s="1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row>
    <row r="185" ht="14.25" customHeight="1" s="1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row>
    <row r="186" ht="14.25" customHeight="1" s="1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row>
    <row r="187" ht="14.25" customHeight="1" s="1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row>
    <row r="188" ht="14.25" customHeight="1" s="1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row>
    <row r="189" ht="14.25" customHeight="1" s="1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row>
    <row r="190" ht="14.25" customHeight="1" s="1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row>
    <row r="191" ht="14.25" customHeight="1" s="1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row>
    <row r="192" ht="14.25" customHeight="1" s="1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row>
    <row r="193" ht="14.25" customHeight="1" s="1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row>
    <row r="194" ht="14.25" customHeight="1" s="1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row>
    <row r="195" ht="14.25" customHeight="1" s="1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row>
    <row r="196" ht="14.25" customHeight="1" s="1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row>
    <row r="197" ht="14.25" customHeight="1" s="1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row>
    <row r="198" ht="14.25" customHeight="1" s="1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row>
    <row r="199" ht="14.25" customHeight="1" s="1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row>
    <row r="200" ht="14.25" customHeight="1" s="1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row>
    <row r="201" ht="14.25" customHeight="1" s="11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row>
    <row r="202" ht="14.25" customHeight="1" s="11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row>
    <row r="203" ht="14.25" customHeight="1" s="11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row>
    <row r="204" ht="14.25" customHeight="1" s="11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row>
    <row r="205" ht="14.25" customHeight="1" s="11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row>
    <row r="206" ht="14.25" customHeight="1" s="11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row>
    <row r="207" ht="14.25" customHeight="1" s="11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row>
    <row r="208" ht="14.25" customHeight="1" s="11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row>
    <row r="209" ht="14.25" customHeight="1" s="11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row>
    <row r="210" ht="14.25" customHeight="1" s="11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row>
    <row r="211" ht="14.25" customHeight="1" s="11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row>
    <row r="212" ht="14.25" customHeight="1" s="11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row>
    <row r="213" ht="14.25" customHeight="1" s="11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row>
    <row r="214" ht="14.25" customHeight="1" s="11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row>
    <row r="215" ht="14.25" customHeight="1" s="11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row>
    <row r="216" ht="14.25" customHeight="1" s="11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row>
    <row r="217" ht="14.25" customHeight="1" s="11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row>
    <row r="218" ht="14.25" customHeight="1" s="1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row>
    <row r="219" ht="14.25" customHeight="1" s="11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row>
    <row r="220" ht="14.25" customHeight="1" s="11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row>
    <row r="221" ht="14.25" customHeight="1" s="1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row>
    <row r="222" ht="14.25" customHeight="1" s="1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row>
    <row r="223" ht="14.25" customHeight="1" s="1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row>
    <row r="224" ht="14.25" customHeight="1" s="1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row>
    <row r="225" ht="14.25" customHeight="1" s="1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row>
    <row r="226" ht="14.25" customHeight="1" s="1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row>
    <row r="227" ht="14.25" customHeight="1" s="1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row>
    <row r="228" ht="14.25" customHeight="1" s="1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row>
    <row r="229" ht="14.25" customHeight="1" s="1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row>
    <row r="230" ht="14.25" customHeight="1" s="1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row>
    <row r="231" ht="14.25" customHeight="1" s="1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row>
    <row r="232" ht="14.25" customHeight="1" s="1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row>
    <row r="233" ht="14.25" customHeight="1" s="1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row>
    <row r="234" ht="14.25" customHeight="1" s="1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row>
    <row r="235" ht="14.25" customHeight="1" s="1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row>
    <row r="236" ht="14.25" customHeight="1" s="1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row>
    <row r="237" ht="14.25" customHeight="1" s="1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row>
    <row r="238" ht="14.25" customHeight="1" s="1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row>
    <row r="239" ht="14.25" customHeight="1" s="1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row>
    <row r="240" ht="14.25" customHeight="1" s="1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row>
    <row r="241" ht="14.25" customHeight="1" s="1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row>
    <row r="242" ht="14.25" customHeight="1" s="1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row>
    <row r="243" ht="14.25" customHeight="1" s="1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row>
    <row r="244" ht="14.25" customHeight="1" s="1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row>
    <row r="245" ht="14.25" customHeight="1" s="1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row>
    <row r="246" ht="14.25" customHeight="1" s="1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row>
    <row r="247" ht="14.25" customHeight="1" s="1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row>
    <row r="248" ht="14.25" customHeight="1" s="1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row>
    <row r="249" ht="14.25" customHeight="1" s="1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row>
    <row r="250" ht="14.25" customHeight="1" s="1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row>
    <row r="251" ht="14.25" customHeight="1" s="1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row>
    <row r="252" ht="14.25" customHeight="1" s="1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row>
    <row r="253" ht="14.25" customHeight="1" s="1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row>
    <row r="254" ht="14.25" customHeight="1" s="1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row>
    <row r="255" ht="14.25" customHeight="1" s="1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row>
    <row r="256" ht="14.25" customHeight="1" s="1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row>
    <row r="257" ht="14.25" customHeight="1" s="1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row>
    <row r="258" ht="14.25" customHeight="1" s="1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row>
    <row r="259" ht="14.25" customHeight="1" s="1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row>
    <row r="260" ht="14.25" customHeight="1" s="1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row>
    <row r="261" ht="14.25" customHeight="1" s="1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row>
    <row r="262" ht="14.25" customHeight="1" s="1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row>
    <row r="263" ht="14.25" customHeight="1" s="1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row>
    <row r="264" ht="14.25" customHeight="1" s="1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row>
    <row r="265" ht="14.25" customHeight="1" s="1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row>
    <row r="266" ht="14.25" customHeight="1" s="1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row>
    <row r="267" ht="14.25" customHeight="1" s="1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row>
    <row r="268" ht="14.25" customHeight="1" s="1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row>
    <row r="269" ht="14.25" customHeight="1" s="1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row>
    <row r="270" ht="14.25" customHeight="1" s="1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row>
    <row r="271" ht="14.25" customHeight="1" s="1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row>
    <row r="272" ht="14.25" customHeight="1" s="1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row>
    <row r="273" ht="14.25" customHeight="1" s="1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row>
    <row r="274" ht="14.25" customHeight="1" s="1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row>
    <row r="275" ht="14.25" customHeight="1" s="1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row>
    <row r="276" ht="14.25" customHeight="1" s="1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row>
    <row r="277" ht="14.25" customHeight="1" s="1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row>
    <row r="278" ht="14.25" customHeight="1" s="1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row>
    <row r="279" ht="14.25" customHeight="1" s="1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row>
    <row r="280" ht="14.25" customHeight="1" s="1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row>
    <row r="281" ht="14.25" customHeight="1" s="1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row>
    <row r="282" ht="14.25" customHeight="1" s="1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row>
    <row r="283" ht="14.25" customHeight="1" s="1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row>
    <row r="284" ht="14.25" customHeight="1" s="1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row>
    <row r="285" ht="14.25" customHeight="1" s="1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row>
    <row r="286" ht="14.25" customHeight="1" s="1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row>
    <row r="287" ht="14.25" customHeight="1" s="1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row>
    <row r="288" ht="14.25" customHeight="1" s="1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row>
    <row r="289" ht="14.25" customHeight="1" s="1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row>
    <row r="290" ht="14.25" customHeight="1" s="1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row>
    <row r="291" ht="14.25" customHeight="1" s="1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row>
    <row r="292" ht="14.25" customHeight="1" s="1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row>
    <row r="293" ht="14.25" customHeight="1" s="1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row>
    <row r="294" ht="14.25" customHeight="1" s="1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row>
    <row r="295" ht="14.25" customHeight="1" s="1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row>
    <row r="296" ht="14.25" customHeight="1" s="1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row>
    <row r="297" ht="14.25" customHeight="1" s="1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row>
    <row r="298" ht="14.25" customHeight="1" s="1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row>
    <row r="299" ht="14.25" customHeight="1" s="1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row>
    <row r="300" ht="14.25" customHeight="1" s="1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row>
    <row r="301" ht="14.25" customHeight="1" s="1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row>
    <row r="302" ht="14.25" customHeight="1" s="1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row>
    <row r="303" ht="14.25" customHeight="1" s="1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row>
    <row r="304" ht="14.25" customHeight="1" s="1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row>
    <row r="305" ht="14.25" customHeight="1" s="1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row>
    <row r="306" ht="14.25" customHeight="1" s="1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row>
    <row r="307" ht="14.25" customHeight="1" s="1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row>
    <row r="308" ht="14.25" customHeight="1" s="1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row>
    <row r="309" ht="14.25" customHeight="1" s="1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row>
    <row r="310" ht="14.25" customHeight="1" s="1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row>
    <row r="311" ht="14.25" customHeight="1" s="1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row>
    <row r="312" ht="14.25" customHeight="1" s="1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row>
    <row r="313" ht="14.25" customHeight="1" s="1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row>
    <row r="314" ht="14.25" customHeight="1" s="1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row>
    <row r="315" ht="14.25" customHeight="1" s="1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row>
    <row r="316" ht="14.25" customHeight="1" s="1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row>
    <row r="317" ht="14.25" customHeight="1" s="1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row>
    <row r="318" ht="14.25" customHeight="1" s="1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row>
    <row r="319" ht="14.25" customHeight="1" s="1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row>
    <row r="320" ht="14.25" customHeight="1" s="1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row>
    <row r="321" ht="14.25" customHeight="1" s="1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row>
    <row r="322" ht="14.25" customHeight="1" s="1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row>
    <row r="323" ht="14.25" customHeight="1" s="1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row>
    <row r="324" ht="14.25" customHeight="1" s="1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row>
    <row r="325" ht="14.25" customHeight="1" s="1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row>
    <row r="326" ht="14.25" customHeight="1" s="1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row>
    <row r="327" ht="14.25" customHeight="1" s="1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row>
    <row r="328" ht="15.75" customHeight="1" s="1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row>
    <row r="329" ht="15.75" customHeight="1" s="1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row>
    <row r="330" ht="15.75" customHeight="1" s="1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row>
    <row r="331" ht="15.75" customHeight="1" s="1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row>
    <row r="332" ht="15.75" customHeight="1" s="1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row>
    <row r="333" ht="15.75" customHeight="1" s="1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row>
    <row r="334" ht="15.75" customHeight="1" s="1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row>
    <row r="335" ht="15.75" customHeight="1" s="1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row>
    <row r="336" ht="15.75" customHeight="1" s="1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row>
    <row r="337" ht="15.75" customHeight="1" s="1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row>
    <row r="338" ht="15.75" customHeight="1" s="1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row>
    <row r="339" ht="15.75" customHeight="1" s="1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row>
    <row r="340" ht="15.75" customHeight="1" s="1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row>
    <row r="341" ht="15.75" customHeight="1" s="1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row>
    <row r="342" ht="15.75" customHeight="1" s="1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row>
    <row r="343" ht="15.75" customHeight="1" s="1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row>
    <row r="344" ht="15.75" customHeight="1" s="1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row>
    <row r="345" ht="15.75" customHeight="1" s="1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row>
    <row r="346" ht="15.75" customHeight="1" s="1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row>
    <row r="347" ht="15.75" customHeight="1" s="1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row>
    <row r="348" ht="15.75" customHeight="1" s="1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row>
    <row r="349" ht="15.75" customHeight="1" s="1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row>
    <row r="350" ht="15.75" customHeight="1" s="1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row>
    <row r="351" ht="15.75" customHeight="1" s="1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row>
    <row r="352" ht="15.75" customHeight="1" s="1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row>
    <row r="353" ht="15.75" customHeight="1" s="1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row>
    <row r="354" ht="15.75" customHeight="1" s="1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row>
    <row r="355" ht="15.75" customHeight="1" s="1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row>
    <row r="356" ht="15.75" customHeight="1" s="1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row>
    <row r="357" ht="15.75" customHeight="1" s="1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row>
    <row r="358" ht="15.75" customHeight="1" s="1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row>
    <row r="359" ht="15.75" customHeight="1" s="1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row>
    <row r="360" ht="15.75" customHeight="1" s="1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row>
    <row r="361" ht="15.75" customHeight="1" s="1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row>
    <row r="362" ht="15.75" customHeight="1" s="1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row>
    <row r="363" ht="15.75" customHeight="1" s="1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row>
    <row r="364" ht="15.75" customHeight="1" s="1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row>
    <row r="365" ht="15.75" customHeight="1" s="1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row>
    <row r="366" ht="15.75" customHeight="1" s="1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row>
    <row r="367" ht="15.75" customHeight="1" s="1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row>
    <row r="368" ht="15.75" customHeight="1" s="1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row>
    <row r="369" ht="15.75" customHeight="1" s="1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row>
    <row r="370" ht="15.75" customHeight="1" s="1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row>
    <row r="371" ht="15.75" customHeight="1" s="1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row>
    <row r="372" ht="15.75" customHeight="1" s="1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row>
    <row r="373" ht="15.75" customHeight="1" s="1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row>
    <row r="374" ht="15.75" customHeight="1" s="1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row>
    <row r="375" ht="15.75" customHeight="1" s="1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row>
    <row r="376" ht="15.75" customHeight="1" s="1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row>
    <row r="377" ht="15.75" customHeight="1" s="1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row>
    <row r="378" ht="15.75" customHeight="1" s="1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row>
    <row r="379" ht="15.75" customHeight="1" s="1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row>
    <row r="380" ht="15.75" customHeight="1" s="1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row>
    <row r="381" ht="15.75" customHeight="1" s="1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row>
    <row r="382" ht="15.75" customHeight="1" s="1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row>
    <row r="383" ht="15.75" customHeight="1" s="1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row>
    <row r="384" ht="15.75" customHeight="1" s="1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row>
    <row r="385" ht="15.75" customHeight="1" s="1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row>
    <row r="386" ht="15.75" customHeight="1" s="1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row>
    <row r="387" ht="15.75" customHeight="1" s="1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row>
    <row r="388" ht="15.75" customHeight="1" s="1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row>
    <row r="389" ht="15.75" customHeight="1" s="1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row>
    <row r="390" ht="15.75" customHeight="1" s="1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row>
    <row r="391" ht="15.75" customHeight="1" s="1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row>
    <row r="392" ht="15.75" customHeight="1" s="1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row>
    <row r="393" ht="15.75" customHeight="1" s="1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row>
    <row r="394" ht="15.75" customHeight="1" s="1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row>
    <row r="395" ht="15.75" customHeight="1" s="1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row>
    <row r="396" ht="15.75" customHeight="1" s="1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row>
    <row r="397" ht="15.75" customHeight="1" s="1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row>
    <row r="398" ht="15.75" customHeight="1" s="1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row>
    <row r="399" ht="15.75" customHeight="1" s="1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row>
    <row r="400" ht="15.75" customHeight="1" s="1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row>
    <row r="401" ht="15.75" customHeight="1" s="1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row>
    <row r="402" ht="15.75" customHeight="1" s="1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row>
    <row r="403" ht="15.75" customHeight="1" s="1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row>
    <row r="404" ht="15.75" customHeight="1" s="1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row>
    <row r="405" ht="15.75" customHeight="1" s="1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row>
    <row r="406" ht="15.75" customHeight="1" s="1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row>
    <row r="407" ht="15.75" customHeight="1" s="1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row>
    <row r="408" ht="15.75" customHeight="1" s="1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row>
    <row r="409" ht="15.75" customHeight="1" s="1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row>
    <row r="410" ht="15.75" customHeight="1" s="1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row>
    <row r="411" ht="15.75" customHeight="1" s="1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row>
    <row r="412" ht="15.75" customHeight="1" s="1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row>
    <row r="413" ht="15.75" customHeight="1" s="1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row>
    <row r="414" ht="15.75" customHeight="1" s="1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row>
    <row r="415" ht="15.75" customHeight="1" s="1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row>
    <row r="416" ht="15.75" customHeight="1" s="1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row>
    <row r="417" ht="15.75" customHeight="1" s="1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row>
    <row r="418" ht="15.75" customHeight="1" s="1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row>
    <row r="419" ht="15.75" customHeight="1" s="1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row>
    <row r="420" ht="15.75" customHeight="1" s="1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row>
    <row r="421" ht="15.75" customHeight="1" s="1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row>
    <row r="422" ht="15.75" customHeight="1" s="1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row>
    <row r="423" ht="15.75" customHeight="1" s="1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row>
    <row r="424" ht="15.75" customHeight="1" s="1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row>
    <row r="425" ht="15.75" customHeight="1" s="1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row>
    <row r="426" ht="15.75" customHeight="1" s="1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row>
    <row r="427" ht="15.75" customHeight="1" s="1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row>
    <row r="428" ht="15.75" customHeight="1" s="1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row>
    <row r="429" ht="15.75" customHeight="1" s="1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row>
    <row r="430" ht="15.75" customHeight="1" s="1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row>
    <row r="431" ht="15.75" customHeight="1" s="1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row>
    <row r="432" ht="15.75" customHeight="1" s="1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row>
    <row r="433" ht="15.75" customHeight="1" s="1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row>
    <row r="434" ht="15.75" customHeight="1" s="1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row>
    <row r="435" ht="15.75" customHeight="1" s="1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row>
    <row r="436" ht="15.75" customHeight="1" s="1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row>
    <row r="437" ht="15.75" customHeight="1" s="1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row>
    <row r="438" ht="15.75" customHeight="1" s="1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row>
    <row r="439" ht="15.75" customHeight="1" s="1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row>
    <row r="440" ht="15.75" customHeight="1" s="1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row>
    <row r="441" ht="15.75" customHeight="1" s="1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row>
    <row r="442" ht="15.75" customHeight="1" s="1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row>
    <row r="443" ht="15.75" customHeight="1" s="1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row>
    <row r="444" ht="15.75" customHeight="1" s="1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row>
    <row r="445" ht="15.75" customHeight="1" s="1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row>
    <row r="446" ht="15.75" customHeight="1" s="1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row>
    <row r="447" ht="15.75" customHeight="1" s="1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row>
    <row r="448" ht="15.75" customHeight="1" s="1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row>
    <row r="449" ht="15.75" customHeight="1" s="1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row>
    <row r="450" ht="15.75" customHeight="1" s="1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row>
    <row r="451" ht="15.75" customHeight="1" s="1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row>
    <row r="452" ht="15.75" customHeight="1" s="1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row>
    <row r="453" ht="15.75" customHeight="1" s="1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row>
    <row r="454" ht="15.75" customHeight="1" s="1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row>
    <row r="455" ht="15.75" customHeight="1" s="1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row>
    <row r="456" ht="15.75" customHeight="1" s="1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row>
    <row r="457" ht="15.75" customHeight="1" s="1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row>
    <row r="458" ht="15.75" customHeight="1" s="1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row>
    <row r="459" ht="15.75" customHeight="1" s="1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row>
    <row r="460" ht="15.75" customHeight="1" s="1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row>
    <row r="461" ht="15.75" customHeight="1" s="1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row>
    <row r="462" ht="15.75" customHeight="1" s="1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row>
    <row r="463" ht="15.75" customHeight="1" s="1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row>
    <row r="464" ht="15.75" customHeight="1" s="1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row>
    <row r="465" ht="15.75" customHeight="1" s="1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row>
    <row r="466" ht="15.75" customHeight="1" s="1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row>
    <row r="467" ht="15.75" customHeight="1" s="1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row>
    <row r="468" ht="15.75" customHeight="1" s="1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row>
    <row r="469" ht="15.75" customHeight="1" s="1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row>
    <row r="470" ht="15.75" customHeight="1" s="1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row>
    <row r="471" ht="15.75" customHeight="1" s="1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row>
    <row r="472" ht="15.75" customHeight="1" s="1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row>
    <row r="473" ht="15.75" customHeight="1" s="1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row>
    <row r="474" ht="15.75" customHeight="1" s="1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row>
    <row r="475" ht="15.75" customHeight="1" s="1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row>
    <row r="476" ht="15.75" customHeight="1" s="1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row>
    <row r="477" ht="15.75" customHeight="1" s="1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row>
    <row r="478" ht="15.75" customHeight="1" s="1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row>
    <row r="479" ht="15.75" customHeight="1" s="1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row>
    <row r="480" ht="15.75" customHeight="1" s="1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row>
    <row r="481" ht="15.75" customHeight="1" s="1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row>
    <row r="482" ht="15.75" customHeight="1" s="1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row>
    <row r="483" ht="15.75" customHeight="1" s="1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row>
    <row r="484" ht="15.75" customHeight="1" s="1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row>
    <row r="485" ht="15.75" customHeight="1" s="1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row>
    <row r="486" ht="15.75" customHeight="1" s="1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row>
    <row r="487" ht="15.75" customHeight="1" s="1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row>
    <row r="488" ht="15.75" customHeight="1" s="1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row>
    <row r="489" ht="15.75" customHeight="1" s="1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row>
    <row r="490" ht="15.75" customHeight="1" s="1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row>
    <row r="491" ht="15.75" customHeight="1" s="1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row>
    <row r="492" ht="15.75" customHeight="1" s="1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row>
    <row r="493" ht="15.75" customHeight="1" s="1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row>
    <row r="494" ht="15.75" customHeight="1" s="1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row>
    <row r="495" ht="15.75" customHeight="1" s="1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row>
    <row r="496" ht="15.75" customHeight="1" s="1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row>
    <row r="497" ht="15.75" customHeight="1" s="1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row>
    <row r="498" ht="15.75" customHeight="1" s="1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row>
    <row r="499" ht="15.75" customHeight="1" s="1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row>
    <row r="500" ht="15.75" customHeight="1" s="1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row>
    <row r="501" ht="15.75" customHeight="1" s="1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row>
    <row r="502" ht="15.75" customHeight="1" s="1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row>
    <row r="503" ht="15.75" customHeight="1" s="1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row>
    <row r="504" ht="15.75" customHeight="1" s="1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row>
    <row r="505" ht="15.75" customHeight="1" s="1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row>
    <row r="506" ht="15.75" customHeight="1" s="1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row>
    <row r="507" ht="15.75" customHeight="1" s="1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row>
    <row r="508" ht="15.75" customHeight="1" s="1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row>
    <row r="509" ht="15.75" customHeight="1" s="1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row>
    <row r="510" ht="15.75" customHeight="1" s="1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row>
    <row r="511" ht="15.75" customHeight="1" s="1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row>
    <row r="512" ht="15.75" customHeight="1" s="1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row>
    <row r="513" ht="15.75" customHeight="1" s="1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row>
    <row r="514" ht="15.75" customHeight="1" s="1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row>
    <row r="515" ht="15.75" customHeight="1" s="1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row>
    <row r="516" ht="15.75" customHeight="1" s="1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row>
    <row r="517" ht="15.75" customHeight="1" s="1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row>
    <row r="518" ht="15.75" customHeight="1" s="1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row>
    <row r="519" ht="15.75" customHeight="1" s="1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row>
    <row r="520" ht="15.75" customHeight="1" s="1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row>
    <row r="521" ht="15.75" customHeight="1" s="1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row>
    <row r="522" ht="15.75" customHeight="1" s="1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row>
    <row r="523" ht="15.75" customHeight="1" s="1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row>
    <row r="524" ht="15.75" customHeight="1" s="1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row>
    <row r="525" ht="15.75" customHeight="1" s="1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row>
    <row r="526" ht="15.75" customHeight="1" s="1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row>
    <row r="527" ht="15.75" customHeight="1" s="1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row>
    <row r="528" ht="15.75" customHeight="1" s="1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row>
    <row r="529" ht="15.75" customHeight="1" s="1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row>
    <row r="530" ht="15.75" customHeight="1" s="1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row>
    <row r="531" ht="15.75" customHeight="1" s="1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row>
    <row r="532" ht="15.75" customHeight="1" s="1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row>
    <row r="533" ht="15.75" customHeight="1" s="1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row>
    <row r="534" ht="15.75" customHeight="1" s="1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row>
    <row r="535" ht="15.75" customHeight="1" s="1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row>
    <row r="536" ht="15.75" customHeight="1" s="1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row>
    <row r="537" ht="15.75" customHeight="1" s="1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row>
    <row r="538" ht="15.75" customHeight="1" s="1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row>
    <row r="539" ht="15.75" customHeight="1" s="1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row>
    <row r="540" ht="15.75" customHeight="1" s="1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row>
    <row r="541" ht="15.75" customHeight="1" s="1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row>
    <row r="542" ht="15.75" customHeight="1" s="1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row>
    <row r="543" ht="15.75" customHeight="1" s="1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row>
    <row r="544" ht="15.75" customHeight="1" s="1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row>
    <row r="545" ht="15.75" customHeight="1" s="1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row>
    <row r="546" ht="15.75" customHeight="1" s="1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row>
    <row r="547" ht="15.75" customHeight="1" s="1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row>
    <row r="548" ht="15.75" customHeight="1" s="1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row>
    <row r="549" ht="15.75" customHeight="1" s="1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row>
    <row r="550" ht="15.75" customHeight="1" s="1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row>
    <row r="551" ht="15.75" customHeight="1" s="1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row>
    <row r="552" ht="15.75" customHeight="1" s="1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row>
    <row r="553" ht="15.75" customHeight="1" s="1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row>
    <row r="554" ht="15.75" customHeight="1" s="1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row>
    <row r="555" ht="15.75" customHeight="1" s="1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row>
    <row r="556" ht="15.75" customHeight="1" s="1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row>
    <row r="557" ht="15.75" customHeight="1" s="1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row>
    <row r="558" ht="15.75" customHeight="1" s="1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row>
    <row r="559" ht="15.75" customHeight="1" s="1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row>
    <row r="560" ht="15.75" customHeight="1" s="1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row>
    <row r="561" ht="15.75" customHeight="1" s="1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row>
    <row r="562" ht="15.75" customHeight="1" s="1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row>
    <row r="563" ht="15.75" customHeight="1" s="1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row>
    <row r="564" ht="15.75" customHeight="1" s="1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row>
    <row r="565" ht="15.75" customHeight="1" s="1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row>
    <row r="566" ht="15.75" customHeight="1" s="1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row>
    <row r="567" ht="15.75" customHeight="1" s="1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row>
    <row r="568" ht="15.75" customHeight="1" s="1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row>
    <row r="569" ht="15.75" customHeight="1" s="1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row>
    <row r="570" ht="15.75" customHeight="1" s="1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row>
    <row r="571" ht="15.75" customHeight="1" s="1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row>
    <row r="572" ht="15.75" customHeight="1" s="1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row>
    <row r="573" ht="15.75" customHeight="1" s="1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row>
    <row r="574" ht="15.75" customHeight="1" s="1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row>
    <row r="575" ht="15.75" customHeight="1" s="1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row>
    <row r="576" ht="15.75" customHeight="1" s="1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row>
    <row r="577" ht="15.75" customHeight="1" s="1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row>
    <row r="578" ht="15.75" customHeight="1" s="1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row>
    <row r="579" ht="15.75" customHeight="1" s="1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row>
    <row r="580" ht="15.75" customHeight="1" s="1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row>
    <row r="581" ht="15.75" customHeight="1" s="1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row>
    <row r="582" ht="15.75" customHeight="1" s="1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row>
    <row r="583" ht="15.75" customHeight="1" s="1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row>
    <row r="584" ht="15.75" customHeight="1" s="1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row>
    <row r="585" ht="15.75" customHeight="1" s="1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row>
    <row r="586" ht="15.75" customHeight="1" s="1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row>
    <row r="587" ht="15.75" customHeight="1" s="1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row>
    <row r="588" ht="15.75" customHeight="1" s="1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row>
    <row r="589" ht="15.75" customHeight="1" s="1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row>
    <row r="590" ht="15.75" customHeight="1" s="1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row>
    <row r="591" ht="15.75" customHeight="1" s="1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row>
    <row r="592" ht="15.75" customHeight="1" s="1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row>
    <row r="593" ht="15.75" customHeight="1" s="1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row>
    <row r="594" ht="15.75" customHeight="1" s="1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row>
    <row r="595" ht="15.75" customHeight="1" s="1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row>
    <row r="596" ht="15.75" customHeight="1" s="1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row>
    <row r="597" ht="15.75" customHeight="1" s="1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row>
    <row r="598" ht="15.75" customHeight="1" s="1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row>
    <row r="599" ht="15.75" customHeight="1" s="1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row>
    <row r="600" ht="15.75" customHeight="1" s="1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row>
    <row r="601" ht="15.75" customHeight="1" s="1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row>
    <row r="602" ht="15.75" customHeight="1" s="1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row>
    <row r="603" ht="15.75" customHeight="1" s="1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row>
    <row r="604" ht="15.75" customHeight="1" s="1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row>
    <row r="605" ht="15.75" customHeight="1" s="1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row>
    <row r="606" ht="15.75" customHeight="1" s="1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row>
    <row r="607" ht="15.75" customHeight="1" s="1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row>
    <row r="608" ht="15.75" customHeight="1" s="1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row>
    <row r="609" ht="15.75" customHeight="1" s="1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row>
    <row r="610" ht="15.75" customHeight="1" s="1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row>
    <row r="611" ht="15.75" customHeight="1" s="1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row>
    <row r="612" ht="15.75" customHeight="1" s="1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row>
    <row r="613" ht="15.75" customHeight="1" s="1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row>
    <row r="614" ht="15.75" customHeight="1" s="1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row>
    <row r="615" ht="15.75" customHeight="1" s="1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row>
    <row r="616" ht="15.75" customHeight="1" s="1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row>
    <row r="617" ht="15.75" customHeight="1" s="1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row>
    <row r="618" ht="15.75" customHeight="1" s="1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row>
    <row r="619" ht="15.75" customHeight="1" s="1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row>
    <row r="620" ht="15.75" customHeight="1" s="1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row>
    <row r="621" ht="15.75" customHeight="1" s="1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row>
    <row r="622" ht="15.75" customHeight="1" s="1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row>
    <row r="623" ht="15.75" customHeight="1" s="1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row>
    <row r="624" ht="15.75" customHeight="1" s="1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row>
    <row r="625" ht="15.75" customHeight="1" s="1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row>
    <row r="626" ht="15.75" customHeight="1" s="1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row>
    <row r="627" ht="15.75" customHeight="1" s="1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row>
    <row r="628" ht="15.75" customHeight="1" s="1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row>
    <row r="629" ht="15.75" customHeight="1" s="1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row>
    <row r="630" ht="15.75" customHeight="1" s="1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row>
    <row r="631" ht="15.75" customHeight="1" s="1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row>
    <row r="632" ht="15.75" customHeight="1" s="1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row>
    <row r="633" ht="15.75" customHeight="1" s="1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row>
    <row r="634" ht="15.75" customHeight="1" s="1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row>
    <row r="635" ht="15.75" customHeight="1" s="1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row>
    <row r="636" ht="15.75" customHeight="1" s="1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row>
    <row r="637" ht="15.75" customHeight="1" s="1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row>
    <row r="638" ht="15.75" customHeight="1" s="1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row>
    <row r="639" ht="15.75" customHeight="1" s="1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row>
    <row r="640" ht="15.75" customHeight="1" s="1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row>
    <row r="641" ht="15.75" customHeight="1" s="1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row>
    <row r="642" ht="15.75" customHeight="1" s="1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row>
    <row r="643" ht="15.75" customHeight="1" s="1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row>
    <row r="644" ht="15.75" customHeight="1" s="1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row>
    <row r="645" ht="15.75" customHeight="1" s="1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row>
    <row r="646" ht="15.75" customHeight="1" s="1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row>
    <row r="647" ht="15.75" customHeight="1" s="1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row>
    <row r="648" ht="15.75" customHeight="1" s="1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row>
    <row r="649" ht="15.75" customHeight="1" s="1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row>
    <row r="650" ht="15.75" customHeight="1" s="1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row>
    <row r="651" ht="15.75" customHeight="1" s="1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row>
    <row r="652" ht="15.75" customHeight="1" s="1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row>
    <row r="653" ht="15.75" customHeight="1" s="1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row>
    <row r="654" ht="15.75" customHeight="1" s="1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row>
    <row r="655" ht="15.75" customHeight="1" s="1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row>
    <row r="656" ht="15.75" customHeight="1" s="1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row>
    <row r="657" ht="15.75" customHeight="1" s="1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row>
    <row r="658" ht="15.75" customHeight="1" s="1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row>
    <row r="659" ht="15.75" customHeight="1" s="1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row>
    <row r="660" ht="15.75" customHeight="1" s="1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row>
    <row r="661" ht="15.75" customHeight="1" s="1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row>
    <row r="662" ht="15.75" customHeight="1" s="1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row>
    <row r="663" ht="15.75" customHeight="1" s="1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row>
    <row r="664" ht="15.75" customHeight="1" s="1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row>
    <row r="665" ht="15.75" customHeight="1" s="1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row>
    <row r="666" ht="15.75" customHeight="1" s="1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row>
    <row r="667" ht="15.75" customHeight="1" s="1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row>
    <row r="668" ht="15.75" customHeight="1" s="1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row>
    <row r="669" ht="15.75" customHeight="1" s="1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row>
    <row r="670" ht="15.75" customHeight="1" s="1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row>
    <row r="671" ht="15.75" customHeight="1" s="1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row>
    <row r="672" ht="15.75" customHeight="1" s="1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row>
    <row r="673" ht="15.75" customHeight="1" s="1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row>
    <row r="674" ht="15.75" customHeight="1" s="1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row>
    <row r="675" ht="15.75" customHeight="1" s="1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row>
    <row r="676" ht="15.75" customHeight="1" s="1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row>
    <row r="677" ht="15.75" customHeight="1" s="1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row>
    <row r="678" ht="15.75" customHeight="1" s="1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row>
    <row r="679" ht="15.75" customHeight="1" s="1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row>
    <row r="680" ht="15.75" customHeight="1" s="1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row>
    <row r="681" ht="15.75" customHeight="1" s="1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row>
    <row r="682" ht="15.75" customHeight="1" s="1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row>
    <row r="683" ht="15.75" customHeight="1" s="1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row>
    <row r="684" ht="15.75" customHeight="1" s="1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row>
    <row r="685" ht="15.75" customHeight="1" s="1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row>
    <row r="686" ht="15.75" customHeight="1" s="1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row>
    <row r="687" ht="15.75" customHeight="1" s="1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row>
    <row r="688" ht="15.75" customHeight="1" s="1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row>
    <row r="689" ht="15.75" customHeight="1" s="1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row>
    <row r="690" ht="15.75" customHeight="1" s="1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row>
    <row r="691" ht="15.75" customHeight="1" s="1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row>
    <row r="692" ht="15.75" customHeight="1" s="1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row>
    <row r="693" ht="15.75" customHeight="1" s="1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row>
    <row r="694" ht="15.75" customHeight="1" s="1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row>
    <row r="695" ht="15.75" customHeight="1" s="1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row>
    <row r="696" ht="15.75" customHeight="1" s="1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row>
    <row r="697" ht="15.75" customHeight="1" s="1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row>
    <row r="698" ht="15.75" customHeight="1" s="1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row>
    <row r="699" ht="15.75" customHeight="1" s="1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row>
    <row r="700" ht="15.75" customHeight="1" s="1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row>
    <row r="701" ht="15.75" customHeight="1" s="1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row>
    <row r="702" ht="15.75" customHeight="1" s="1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row>
    <row r="703" ht="15.75" customHeight="1" s="1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row>
    <row r="704" ht="15.75" customHeight="1" s="1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row>
    <row r="705" ht="15.75" customHeight="1" s="1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row>
    <row r="706" ht="15.75" customHeight="1" s="1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row>
    <row r="707" ht="15.75" customHeight="1" s="1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row>
    <row r="708" ht="15.75" customHeight="1" s="1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row>
    <row r="709" ht="15.75" customHeight="1" s="1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row>
    <row r="710" ht="15.75" customHeight="1" s="1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row>
    <row r="711" ht="15.75" customHeight="1" s="1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row>
    <row r="712" ht="15.75" customHeight="1" s="1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row>
    <row r="713" ht="15.75" customHeight="1" s="1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row>
    <row r="714" ht="15.75" customHeight="1" s="1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row>
    <row r="715" ht="15.75" customHeight="1" s="1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row>
    <row r="716" ht="15.75" customHeight="1" s="1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row>
    <row r="717" ht="15.75" customHeight="1" s="1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row>
    <row r="718" ht="15.75" customHeight="1" s="1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row>
    <row r="719" ht="15.75" customHeight="1" s="1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row>
    <row r="720" ht="15.75" customHeight="1" s="1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row>
    <row r="721" ht="15.75" customHeight="1" s="1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row>
    <row r="722" ht="15.75" customHeight="1" s="1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row>
    <row r="723" ht="15.75" customHeight="1" s="1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row>
    <row r="724" ht="15.75" customHeight="1" s="1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row>
    <row r="725" ht="15.75" customHeight="1" s="1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row>
    <row r="726" ht="15.75" customHeight="1" s="1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row>
    <row r="727" ht="15.75" customHeight="1" s="1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row>
    <row r="728" ht="15.75" customHeight="1" s="1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row>
    <row r="729" ht="15.75" customHeight="1" s="1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row>
    <row r="730" ht="15.75" customHeight="1" s="1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row>
    <row r="731" ht="15.75" customHeight="1" s="1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row>
    <row r="732" ht="15.75" customHeight="1" s="1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row>
    <row r="733" ht="15.75" customHeight="1" s="1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row>
    <row r="734" ht="15.75" customHeight="1" s="1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row>
    <row r="735" ht="15.75" customHeight="1" s="1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row>
    <row r="736" ht="15.75" customHeight="1" s="1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row>
    <row r="737" ht="15.75" customHeight="1" s="1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row>
    <row r="738" ht="15.75" customHeight="1" s="1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row>
    <row r="739" ht="15.75" customHeight="1" s="1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row>
    <row r="740" ht="15.75" customHeight="1" s="1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row>
    <row r="741" ht="15.75" customHeight="1" s="1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row>
    <row r="742" ht="15.75" customHeight="1" s="1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row>
    <row r="743" ht="15.75" customHeight="1" s="1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row>
    <row r="744" ht="15.75" customHeight="1" s="1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row>
    <row r="745" ht="15.75" customHeight="1" s="1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row>
    <row r="746" ht="15.75" customHeight="1" s="1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row>
    <row r="747" ht="15.75" customHeight="1" s="1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row>
    <row r="748" ht="15.75" customHeight="1" s="1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row>
    <row r="749" ht="15.75" customHeight="1" s="1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row>
    <row r="750" ht="15.75" customHeight="1" s="1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row>
    <row r="751" ht="15.75" customHeight="1" s="1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row>
    <row r="752" ht="15.75" customHeight="1" s="1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row>
    <row r="753" ht="15.75" customHeight="1" s="1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row>
    <row r="754" ht="15.75" customHeight="1" s="1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row>
    <row r="755" ht="15.75" customHeight="1" s="1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row>
    <row r="756" ht="15.75" customHeight="1" s="1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row>
    <row r="757" ht="15.75" customHeight="1" s="1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row>
    <row r="758" ht="15.75" customHeight="1" s="1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row>
    <row r="759" ht="15.75" customHeight="1" s="1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row>
    <row r="760" ht="15.75" customHeight="1" s="1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row>
    <row r="761" ht="15.75" customHeight="1" s="1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row>
    <row r="762" ht="15.75" customHeight="1" s="1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row>
    <row r="763" ht="15.75" customHeight="1" s="1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row>
    <row r="764" ht="15.75" customHeight="1" s="1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row>
    <row r="765" ht="15.75" customHeight="1" s="1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row>
    <row r="766" ht="15.75" customHeight="1" s="1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row>
    <row r="767" ht="15.75" customHeight="1" s="1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row>
    <row r="768" ht="15.75" customHeight="1" s="1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row>
    <row r="769" ht="15.75" customHeight="1" s="1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row>
    <row r="770" ht="15.75" customHeight="1" s="1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row>
    <row r="771" ht="15.75" customHeight="1" s="1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row>
    <row r="772" ht="15.75" customHeight="1" s="1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row>
    <row r="773" ht="15.75" customHeight="1" s="1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row>
    <row r="774" ht="15.75" customHeight="1" s="1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row>
    <row r="775" ht="15.75" customHeight="1" s="1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row>
    <row r="776" ht="15.75" customHeight="1" s="1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row>
    <row r="777" ht="15.75" customHeight="1" s="1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row>
    <row r="778" ht="15.75" customHeight="1" s="1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row>
    <row r="779" ht="15.75" customHeight="1" s="1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row>
    <row r="780" ht="15.75" customHeight="1" s="1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row>
    <row r="781" ht="15.75" customHeight="1" s="1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row>
    <row r="782" ht="15.75" customHeight="1" s="1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row>
    <row r="783" ht="15.75" customHeight="1" s="1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row>
    <row r="784" ht="15.75" customHeight="1" s="1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row>
    <row r="785" ht="15.75" customHeight="1" s="1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row>
    <row r="786" ht="15.75" customHeight="1" s="1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row>
    <row r="787" ht="15.75" customHeight="1" s="1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row>
    <row r="788" ht="15.75" customHeight="1" s="1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row>
    <row r="789" ht="15.75" customHeight="1" s="1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row>
    <row r="790" ht="15.75" customHeight="1" s="1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row>
    <row r="791" ht="15.75" customHeight="1" s="1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row>
    <row r="792" ht="15.75" customHeight="1" s="1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row>
    <row r="793" ht="15.75" customHeight="1" s="1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row>
    <row r="794" ht="15.75" customHeight="1" s="1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row>
    <row r="795" ht="15.75" customHeight="1" s="1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row>
    <row r="796" ht="15.75" customHeight="1" s="1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row>
    <row r="797" ht="15.75" customHeight="1" s="1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row>
    <row r="798" ht="15.75" customHeight="1" s="1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row>
    <row r="799" ht="15.75" customHeight="1" s="1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row>
    <row r="800" ht="15.75" customHeight="1" s="1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row>
    <row r="801" ht="15.75" customHeight="1" s="1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row>
    <row r="802" ht="15.75" customHeight="1" s="1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row>
    <row r="803" ht="15.75" customHeight="1" s="1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row>
    <row r="804" ht="15.75" customHeight="1" s="1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row>
    <row r="805" ht="15.75" customHeight="1" s="1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row>
    <row r="806" ht="15.75" customHeight="1" s="1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row>
    <row r="807" ht="15.75" customHeight="1" s="1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row>
    <row r="808" ht="15.75" customHeight="1" s="1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row>
    <row r="809" ht="15.75" customHeight="1" s="1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row>
    <row r="810" ht="15.75" customHeight="1" s="1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row>
    <row r="811" ht="15.75" customHeight="1" s="1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row>
    <row r="812" ht="15.75" customHeight="1" s="1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row>
    <row r="813" ht="15.75" customHeight="1" s="1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row>
    <row r="814" ht="15.75" customHeight="1" s="1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row>
    <row r="815" ht="15.75" customHeight="1" s="1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row>
    <row r="816" ht="15.75" customHeight="1" s="1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row>
    <row r="817" ht="15.75" customHeight="1" s="1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row>
    <row r="818" ht="15.75" customHeight="1" s="1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row>
    <row r="819" ht="15.75" customHeight="1" s="1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row>
    <row r="820" ht="15.75" customHeight="1" s="1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row>
    <row r="821" ht="15.75" customHeight="1" s="1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row>
    <row r="822" ht="15.75" customHeight="1" s="1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row>
    <row r="823" ht="15.75" customHeight="1" s="1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row>
    <row r="824" ht="15.75" customHeight="1" s="1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row>
    <row r="825" ht="15.75" customHeight="1" s="1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row>
    <row r="826" ht="15.75" customHeight="1" s="1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row>
    <row r="827" ht="15.75" customHeight="1" s="1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row>
    <row r="828" ht="15.75" customHeight="1" s="1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row>
    <row r="829" ht="15.75" customHeight="1" s="1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row>
    <row r="830" ht="15.75" customHeight="1" s="1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row>
    <row r="831" ht="15.75" customHeight="1" s="1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row>
    <row r="832" ht="15.75" customHeight="1" s="1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row>
    <row r="833" ht="15.75" customHeight="1" s="1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row>
    <row r="834" ht="15.75" customHeight="1" s="1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row>
    <row r="835" ht="15.75" customHeight="1" s="1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row>
    <row r="836" ht="15.75" customHeight="1" s="1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row>
    <row r="837" ht="15.75" customHeight="1" s="1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row>
    <row r="838" ht="15.75" customHeight="1" s="1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row>
    <row r="839" ht="15.75" customHeight="1" s="1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row>
    <row r="840" ht="15.75" customHeight="1" s="1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row>
    <row r="841" ht="15.75" customHeight="1" s="1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row>
    <row r="842" ht="15.75" customHeight="1" s="1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row>
    <row r="843" ht="15.75" customHeight="1" s="1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row>
    <row r="844" ht="15.75" customHeight="1" s="1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row>
    <row r="845" ht="15.75" customHeight="1" s="1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row>
    <row r="846" ht="15.75" customHeight="1" s="1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row>
    <row r="847" ht="15.75" customHeight="1" s="1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row>
    <row r="848" ht="15.75" customHeight="1" s="1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row>
    <row r="849" ht="15.75" customHeight="1" s="1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row>
    <row r="850" ht="15.75" customHeight="1" s="1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row>
    <row r="851" ht="15.75" customHeight="1" s="1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row>
    <row r="852" ht="15.75" customHeight="1" s="1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row>
    <row r="853" ht="15.75" customHeight="1" s="1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row>
    <row r="854" ht="15.75" customHeight="1" s="1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row>
    <row r="855" ht="15.75" customHeight="1" s="1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row>
    <row r="856" ht="15.75" customHeight="1" s="1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row>
    <row r="857" ht="15.75" customHeight="1" s="1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row>
    <row r="858" ht="15.75" customHeight="1" s="1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row>
    <row r="859" ht="15.75" customHeight="1" s="1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row>
    <row r="860" ht="15.75" customHeight="1" s="1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row>
    <row r="861" ht="15.75" customHeight="1" s="1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row>
    <row r="862" ht="15.75" customHeight="1" s="1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row>
    <row r="863" ht="15.75" customHeight="1" s="1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row>
    <row r="864" ht="15.75" customHeight="1" s="1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row>
    <row r="865" ht="15.75" customHeight="1" s="1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row>
    <row r="866" ht="15.75" customHeight="1" s="1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row>
    <row r="867" ht="15.75" customHeight="1" s="1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row>
    <row r="868" ht="15.75" customHeight="1" s="1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row>
    <row r="869" ht="15.75" customHeight="1" s="1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row>
    <row r="870" ht="15.75" customHeight="1" s="1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row>
    <row r="871" ht="15.75" customHeight="1" s="1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row>
    <row r="872" ht="15.75" customHeight="1" s="1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row>
    <row r="873" ht="15.75" customHeight="1" s="1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row>
    <row r="874" ht="15.75" customHeight="1" s="1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row>
    <row r="875" ht="15.75" customHeight="1" s="1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row>
    <row r="876" ht="15.75" customHeight="1" s="1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row>
    <row r="877" ht="15.75" customHeight="1" s="1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row>
    <row r="878" ht="15.75" customHeight="1" s="1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row>
    <row r="879" ht="15.75" customHeight="1" s="1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row>
    <row r="880" ht="15.75" customHeight="1" s="1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row>
    <row r="881" ht="15.75" customHeight="1" s="1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row>
    <row r="882" ht="15.75" customHeight="1" s="1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row>
    <row r="883" ht="15.75" customHeight="1" s="1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row>
    <row r="884" ht="15.75" customHeight="1" s="1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row>
    <row r="885" ht="15.75" customHeight="1" s="1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row>
    <row r="886" ht="15.75" customHeight="1" s="1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row>
    <row r="887" ht="15.75" customHeight="1" s="1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row>
    <row r="888" ht="15.75" customHeight="1" s="1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row>
    <row r="889" ht="15.75" customHeight="1" s="1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row>
    <row r="890" ht="15.75" customHeight="1" s="1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row>
    <row r="891" ht="15.75" customHeight="1" s="1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row>
    <row r="892" ht="15.75" customHeight="1" s="1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row>
    <row r="893" ht="15.75" customHeight="1" s="1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row>
    <row r="894" ht="15.75" customHeight="1" s="1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row>
    <row r="895" ht="15.75" customHeight="1" s="1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row>
    <row r="896" ht="15.75" customHeight="1" s="1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row>
    <row r="897" ht="15.75" customHeight="1" s="1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row>
    <row r="898" ht="15.75" customHeight="1" s="1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row>
    <row r="899" ht="15.75" customHeight="1" s="1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row>
    <row r="900" ht="15.75" customHeight="1" s="1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row>
    <row r="901" ht="15.75" customHeight="1" s="1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row>
    <row r="902" ht="15.75" customHeight="1" s="1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row>
    <row r="903" ht="15.75" customHeight="1" s="1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row>
    <row r="904" ht="15.75" customHeight="1" s="1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row>
    <row r="905" ht="15.75" customHeight="1" s="1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row>
    <row r="906" ht="15.75" customHeight="1" s="1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row>
    <row r="907" ht="15.75" customHeight="1" s="1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row>
    <row r="908" ht="15.75" customHeight="1" s="1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row>
    <row r="909" ht="15.75" customHeight="1" s="1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row>
    <row r="910" ht="15.75" customHeight="1" s="1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row>
    <row r="911" ht="15.75" customHeight="1" s="1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row>
    <row r="912" ht="15.75" customHeight="1" s="1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row>
    <row r="913" ht="15.75" customHeight="1" s="1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row>
    <row r="914" ht="15.75" customHeight="1" s="1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row>
    <row r="915" ht="15.75" customHeight="1" s="1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row>
    <row r="916" ht="15.75" customHeight="1" s="1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row>
    <row r="917" ht="15.75" customHeight="1" s="1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row>
    <row r="918" ht="15.75" customHeight="1" s="1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row>
    <row r="919" ht="15.75" customHeight="1" s="1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row>
    <row r="920" ht="15.75" customHeight="1" s="1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row>
    <row r="921" ht="15.75" customHeight="1" s="1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row>
    <row r="922" ht="15.75" customHeight="1" s="1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row>
    <row r="923" ht="15.75" customHeight="1" s="1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row>
    <row r="924" ht="15.75" customHeight="1" s="1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row>
    <row r="925" ht="15.75" customHeight="1" s="1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row>
    <row r="926" ht="15.75" customHeight="1" s="1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row>
    <row r="927" ht="15.75" customHeight="1" s="1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row>
    <row r="928" ht="15.75" customHeight="1" s="1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row>
    <row r="929" ht="15.75" customHeight="1" s="1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row>
    <row r="930" ht="15.75" customHeight="1" s="1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row>
    <row r="931" ht="15.75" customHeight="1" s="1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row>
    <row r="932" ht="15.75" customHeight="1" s="1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row>
    <row r="933" ht="15.75" customHeight="1" s="1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row>
    <row r="934" ht="15.75" customHeight="1" s="1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row>
    <row r="935" ht="15.75" customHeight="1" s="1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row>
    <row r="936" ht="15.75" customHeight="1" s="1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row>
    <row r="937" ht="15.75" customHeight="1" s="1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row>
    <row r="938" ht="15.75" customHeight="1" s="1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row>
    <row r="939" ht="15.75" customHeight="1" s="1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row>
    <row r="940" ht="15.75" customHeight="1" s="1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row>
    <row r="941" ht="15.75" customHeight="1" s="1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row>
    <row r="942" ht="15.75" customHeight="1" s="1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row>
    <row r="943" ht="15.75" customHeight="1" s="1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row>
    <row r="944" ht="15.75" customHeight="1" s="1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row>
    <row r="945" ht="15.75" customHeight="1" s="1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row>
    <row r="946" ht="15.75" customHeight="1" s="1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row>
    <row r="947" ht="15.75" customHeight="1" s="1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row>
    <row r="948" ht="15.75" customHeight="1" s="1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row>
    <row r="949" ht="15.75" customHeight="1" s="1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row>
    <row r="950" ht="15.75" customHeight="1" s="1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row>
    <row r="951" ht="15.75" customHeight="1" s="1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row>
    <row r="952" ht="15.75" customHeight="1" s="1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row>
    <row r="953" ht="15.75" customHeight="1" s="1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row>
    <row r="954" ht="15.75" customHeight="1" s="1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row>
    <row r="955" ht="15.75" customHeight="1" s="1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row>
    <row r="956" ht="15.75" customHeight="1" s="1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row>
    <row r="957" ht="15.75" customHeight="1" s="1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row>
    <row r="958" ht="15.75" customHeight="1" s="1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row>
    <row r="959" ht="15.75" customHeight="1" s="1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row>
    <row r="960" ht="15.75" customHeight="1" s="1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row>
    <row r="961" ht="15.75" customHeight="1" s="1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row>
    <row r="962" ht="15.75" customHeight="1" s="1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row>
    <row r="963" ht="15.75" customHeight="1" s="1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row>
    <row r="964" ht="15.75" customHeight="1" s="1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row>
    <row r="965" ht="15.75" customHeight="1" s="1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row>
    <row r="966" ht="15.75" customHeight="1" s="1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row>
    <row r="967" ht="15.75" customHeight="1" s="1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row>
    <row r="968" ht="15.75" customHeight="1" s="1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row>
    <row r="969" ht="15.75" customHeight="1" s="1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row>
    <row r="970" ht="15.75" customHeight="1" s="1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row>
    <row r="971" ht="15.75" customHeight="1" s="1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row>
    <row r="972" ht="15.75" customHeight="1" s="1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row>
    <row r="973" ht="15.75" customHeight="1" s="1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row>
    <row r="974" ht="15.75" customHeight="1" s="1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row>
    <row r="975" ht="15.75" customHeight="1" s="1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row>
    <row r="976" ht="15.75" customHeight="1" s="1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row>
    <row r="977" ht="15.75" customHeight="1" s="1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row>
    <row r="978" ht="15.75" customHeight="1" s="1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row>
    <row r="979" ht="15.75" customHeight="1" s="1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row>
    <row r="980" ht="15.75" customHeight="1" s="1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row>
    <row r="981" ht="15.75" customHeight="1" s="1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row>
    <row r="982" ht="15.75" customHeight="1" s="1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row>
    <row r="983" ht="15.75" customHeight="1" s="1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row>
    <row r="984" ht="15.75" customHeight="1" s="1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row>
    <row r="985" ht="15.75" customHeight="1" s="1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row>
    <row r="986" ht="15.75" customHeight="1" s="1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row>
    <row r="987" ht="15.75" customHeight="1" s="1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row>
    <row r="988" ht="15.75" customHeight="1" s="1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row>
    <row r="989" ht="15.75" customHeight="1" s="1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row>
    <row r="990" ht="15.75" customHeight="1" s="1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row>
    <row r="991" ht="15.75" customHeight="1" s="1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row>
    <row r="992" ht="15.75" customHeight="1" s="1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row>
    <row r="993" ht="15.75" customHeight="1" s="1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row>
    <row r="994" ht="15.75" customHeight="1" s="1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row>
    <row r="995" ht="15.75" customHeight="1" s="1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row>
    <row r="996" ht="15.75" customHeight="1" s="1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row>
    <row r="997" ht="15.75" customHeight="1" s="1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row>
    <row r="998" ht="15.75" customHeight="1" s="1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row>
    <row r="999" ht="15.75" customHeight="1" s="1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row>
    <row r="1000" ht="15.75" customHeight="1" s="1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row>
  </sheetData>
  <conditionalFormatting sqref="L3:L96">
    <cfRule type="cellIs" priority="1" operator="equal" dxfId="0">
      <formula>"Done"</formula>
    </cfRule>
    <cfRule type="cellIs" priority="2" operator="equal" dxfId="0">
      <formula>"Completed"</formula>
    </cfRule>
    <cfRule type="cellIs" priority="3" operator="equal" dxfId="0">
      <formula>"Closed"</formula>
    </cfRule>
    <cfRule type="cellIs" priority="4" operator="equal" dxfId="0">
      <formula>"Fixed"</formula>
    </cfRule>
    <cfRule type="cellIs" priority="5" operator="equal" dxfId="0">
      <formula>"Approved"</formula>
    </cfRule>
    <cfRule type="cellIs" priority="6" operator="equal" dxfId="1">
      <formula>"In Progress"</formula>
    </cfRule>
    <cfRule type="cellIs" priority="7" operator="equal" dxfId="2">
      <formula>"Open"</formula>
    </cfRule>
    <cfRule type="cellIs" priority="8" operator="equal" dxfId="1">
      <formula>"Pending"</formula>
    </cfRule>
    <cfRule type="cellIs" priority="9" operator="equal" dxfId="2">
      <formula>"Blocked"</formula>
    </cfRule>
    <cfRule type="cellIs" priority="10" operator="equal" dxfId="3">
      <formula>"Cancelled"</formula>
    </cfRule>
    <cfRule type="cellIs" priority="11" operator="equal" dxfId="2">
      <formula>"Rejected"</formula>
    </cfRule>
    <cfRule type="cellIs" priority="12" operator="equal" dxfId="4">
      <formula>"Submitted"</formula>
    </cfRule>
  </conditionalFormatting>
  <dataValidations count="4">
    <dataValidation sqref="I3:I133" showDropDown="0" showInputMessage="0" showErrorMessage="0" allowBlank="1" type="list">
      <formula1>"Iteration 1,Iteration 2,Iteration 3"</formula1>
    </dataValidation>
    <dataValidation sqref="G3:G133" showDropDown="0" showInputMessage="0" showErrorMessage="0" allowBlank="1" type="list">
      <formula1>"Simple,Medium,Complex"</formula1>
    </dataValidation>
    <dataValidation sqref="L3:L133" showDropDown="0" showInputMessage="0" showErrorMessage="0" allowBlank="1" type="list">
      <formula1>"Not Started,In Progress,Done,Blocked,Cancelled"</formula1>
    </dataValidation>
    <dataValidation sqref="C3:C133" showDropDown="0" showInputMessage="0" showErrorMessage="1" allowBlank="1" type="list">
      <formula1>"Non-UI,Screen"</formula1>
    </dataValidation>
  </dataValidations>
  <pageMargins left="0.75" right="0.75" top="1" bottom="1" header="0" footer="0"/>
  <pageSetup orientation="landscape"/>
</worksheet>
</file>

<file path=xl/worksheets/sheet4.xml><?xml version="1.0" encoding="utf-8"?>
<worksheet xmlns="http://schemas.openxmlformats.org/spreadsheetml/2006/main">
  <sheetPr>
    <tabColor rgb="FF7F6000"/>
    <outlinePr summaryBelow="1" summaryRight="1"/>
    <pageSetUpPr/>
  </sheetPr>
  <dimension ref="A1:Z1000"/>
  <sheetViews>
    <sheetView showGridLines="0" workbookViewId="0">
      <pane ySplit="4" topLeftCell="A5" activePane="bottomLeft" state="frozen"/>
      <selection pane="bottomLeft" activeCell="B6" sqref="B6"/>
    </sheetView>
  </sheetViews>
  <sheetFormatPr baseColWidth="8" defaultColWidth="14.43" defaultRowHeight="15" customHeight="1"/>
  <cols>
    <col width="8.140000000000001" customWidth="1" style="118" min="1" max="1"/>
    <col width="13.71" customWidth="1" style="118" min="2" max="2"/>
    <col width="43.43" customWidth="1" style="118" min="3" max="3"/>
    <col width="16" customWidth="1" style="118" min="4" max="5"/>
    <col width="11.43" customWidth="1" style="118" min="6" max="6"/>
    <col width="13.71" customWidth="1" style="118" min="7" max="7"/>
    <col width="43.43" customWidth="1" style="118" min="8" max="8"/>
    <col width="16" customWidth="1" style="118" min="9" max="10"/>
    <col width="13.71" customWidth="1" style="118" min="11" max="11"/>
    <col width="22.86" customWidth="1" style="118" min="12" max="12"/>
    <col width="16.57" customWidth="1" style="118" min="13" max="26"/>
  </cols>
  <sheetData>
    <row r="1" ht="14.25" customHeight="1" s="118">
      <c r="A1" s="2" t="inlineStr">
        <is>
          <t>Q&amp;A — Project Questions &amp; Answers Log</t>
        </is>
      </c>
      <c r="M1" s="1" t="n"/>
      <c r="N1" s="1" t="n"/>
      <c r="O1" s="1" t="n"/>
      <c r="P1" s="1" t="n"/>
      <c r="Q1" s="1" t="n"/>
      <c r="R1" s="1" t="n"/>
      <c r="S1" s="1" t="n"/>
      <c r="T1" s="1" t="n"/>
      <c r="U1" s="1" t="n"/>
      <c r="V1" s="1" t="n"/>
      <c r="W1" s="1" t="n"/>
      <c r="X1" s="1" t="n"/>
      <c r="Y1" s="1" t="n"/>
      <c r="Z1" s="1" t="n"/>
    </row>
    <row r="2" ht="14.25" customHeight="1" s="118">
      <c r="A2" s="5" t="inlineStr">
        <is>
          <t>Log ALL questions — technical, business, process  ·  Track from Open → Answered → Closed  ·  Never delete a row</t>
        </is>
      </c>
      <c r="M2" s="1" t="n"/>
      <c r="N2" s="1" t="n"/>
      <c r="O2" s="1" t="n"/>
      <c r="P2" s="1" t="n"/>
      <c r="Q2" s="1" t="n"/>
      <c r="R2" s="1" t="n"/>
      <c r="S2" s="1" t="n"/>
      <c r="T2" s="1" t="n"/>
      <c r="U2" s="1" t="n"/>
      <c r="V2" s="1" t="n"/>
      <c r="W2" s="1" t="n"/>
      <c r="X2" s="1" t="n"/>
      <c r="Y2" s="1" t="n"/>
      <c r="Z2" s="1" t="n"/>
    </row>
    <row r="3" ht="14.25" customHeight="1" s="118">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25" customHeight="1" s="118">
      <c r="A4" s="8" t="inlineStr">
        <is>
          <t>#</t>
        </is>
      </c>
      <c r="B4" s="8" t="inlineStr">
        <is>
          <t>Date</t>
        </is>
      </c>
      <c r="C4" s="8" t="inlineStr">
        <is>
          <t>Question</t>
        </is>
      </c>
      <c r="D4" s="8" t="inlineStr">
        <is>
          <t>Raised By</t>
        </is>
      </c>
      <c r="E4" s="8" t="inlineStr">
        <is>
          <t>Directed To</t>
        </is>
      </c>
      <c r="F4" s="8" t="inlineStr">
        <is>
          <t>Priority</t>
        </is>
      </c>
      <c r="G4" s="8" t="inlineStr">
        <is>
          <t>Due Date</t>
        </is>
      </c>
      <c r="H4" s="8" t="inlineStr">
        <is>
          <t>Answer / Resolution</t>
        </is>
      </c>
      <c r="I4" s="8" t="inlineStr">
        <is>
          <t>Answered By</t>
        </is>
      </c>
      <c r="J4" s="8" t="inlineStr">
        <is>
          <t>Answered Date</t>
        </is>
      </c>
      <c r="K4" s="8" t="inlineStr">
        <is>
          <t>Status</t>
        </is>
      </c>
      <c r="L4" s="8" t="inlineStr">
        <is>
          <t>Notes</t>
        </is>
      </c>
      <c r="M4" s="1" t="n"/>
      <c r="N4" s="1" t="n"/>
      <c r="O4" s="1" t="n"/>
      <c r="P4" s="1" t="n"/>
      <c r="Q4" s="1" t="n"/>
      <c r="R4" s="1" t="n"/>
      <c r="S4" s="1" t="n"/>
      <c r="T4" s="1" t="n"/>
      <c r="U4" s="1" t="n"/>
      <c r="V4" s="1" t="n"/>
      <c r="W4" s="1" t="n"/>
      <c r="X4" s="1" t="n"/>
      <c r="Y4" s="1" t="n"/>
      <c r="Z4" s="1" t="n"/>
    </row>
    <row r="5" ht="14.25" customHeight="1" s="118">
      <c r="A5" s="16" t="inlineStr">
        <is>
          <t>Q-001</t>
        </is>
      </c>
      <c r="B5" s="19" t="inlineStr">
        <is>
          <t>2024-01-08</t>
        </is>
      </c>
      <c r="C5" s="22" t="inlineStr">
        <is>
          <t>[Describe the question clearly — what needs clarification?]</t>
        </is>
      </c>
      <c r="D5" s="23" t="inlineStr">
        <is>
          <t>KienNT</t>
        </is>
      </c>
      <c r="E5" s="23" t="inlineStr">
        <is>
          <t>[Assignee/Stakeholder]</t>
        </is>
      </c>
      <c r="F5" s="24" t="inlineStr">
        <is>
          <t>Medium</t>
        </is>
      </c>
      <c r="G5" s="19" t="inlineStr">
        <is>
          <t>2024-01-15</t>
        </is>
      </c>
      <c r="H5" s="23" t="inlineStr">
        <is>
          <t>[Answer provided here]</t>
        </is>
      </c>
      <c r="I5" s="19" t="n"/>
      <c r="J5" s="19" t="n"/>
      <c r="K5" s="28" t="inlineStr">
        <is>
          <t>Open</t>
        </is>
      </c>
      <c r="L5" s="23" t="n"/>
      <c r="M5" s="1" t="n"/>
      <c r="N5" s="1" t="n"/>
      <c r="O5" s="1" t="n"/>
      <c r="P5" s="1" t="n"/>
      <c r="Q5" s="1" t="n"/>
      <c r="R5" s="1" t="n"/>
      <c r="S5" s="1" t="n"/>
      <c r="T5" s="1" t="n"/>
      <c r="U5" s="1" t="n"/>
      <c r="V5" s="1" t="n"/>
      <c r="W5" s="1" t="n"/>
      <c r="X5" s="1" t="n"/>
      <c r="Y5" s="1" t="n"/>
      <c r="Z5" s="1" t="n"/>
    </row>
    <row r="6" ht="14.25" customHeight="1" s="118">
      <c r="A6" s="16" t="inlineStr">
        <is>
          <t>Q-002</t>
        </is>
      </c>
      <c r="B6" s="34" t="n"/>
      <c r="C6" s="34" t="n"/>
      <c r="D6" s="34" t="n"/>
      <c r="E6" s="34" t="n"/>
      <c r="F6" s="24" t="inlineStr">
        <is>
          <t>Medium</t>
        </is>
      </c>
      <c r="G6" s="34" t="n"/>
      <c r="H6" s="34" t="n"/>
      <c r="I6" s="34" t="n"/>
      <c r="J6" s="34" t="n"/>
      <c r="K6" s="39" t="inlineStr">
        <is>
          <t>Open</t>
        </is>
      </c>
      <c r="L6" s="34" t="n"/>
      <c r="M6" s="1" t="n"/>
      <c r="N6" s="1" t="n"/>
      <c r="O6" s="1" t="n"/>
      <c r="P6" s="1" t="n"/>
      <c r="Q6" s="1" t="n"/>
      <c r="R6" s="1" t="n"/>
      <c r="S6" s="1" t="n"/>
      <c r="T6" s="1" t="n"/>
      <c r="U6" s="1" t="n"/>
      <c r="V6" s="1" t="n"/>
      <c r="W6" s="1" t="n"/>
      <c r="X6" s="1" t="n"/>
      <c r="Y6" s="1" t="n"/>
      <c r="Z6" s="1" t="n"/>
    </row>
    <row r="7" ht="14.25" customHeight="1" s="118">
      <c r="A7" s="16" t="inlineStr">
        <is>
          <t>Q-003</t>
        </is>
      </c>
      <c r="B7" s="37" t="n"/>
      <c r="C7" s="37" t="n"/>
      <c r="D7" s="37" t="n"/>
      <c r="E7" s="37" t="n"/>
      <c r="F7" s="24" t="inlineStr">
        <is>
          <t>Medium</t>
        </is>
      </c>
      <c r="G7" s="37" t="n"/>
      <c r="H7" s="37" t="n"/>
      <c r="I7" s="37" t="n"/>
      <c r="J7" s="37" t="n"/>
      <c r="K7" s="39" t="inlineStr">
        <is>
          <t>Open</t>
        </is>
      </c>
      <c r="L7" s="37" t="n"/>
      <c r="M7" s="1" t="n"/>
      <c r="N7" s="1" t="n"/>
      <c r="O7" s="1" t="n"/>
      <c r="P7" s="1" t="n"/>
      <c r="Q7" s="1" t="n"/>
      <c r="R7" s="1" t="n"/>
      <c r="S7" s="1" t="n"/>
      <c r="T7" s="1" t="n"/>
      <c r="U7" s="1" t="n"/>
      <c r="V7" s="1" t="n"/>
      <c r="W7" s="1" t="n"/>
      <c r="X7" s="1" t="n"/>
      <c r="Y7" s="1" t="n"/>
      <c r="Z7" s="1" t="n"/>
    </row>
    <row r="8" ht="14.25" customHeight="1" s="118">
      <c r="A8" s="16" t="inlineStr">
        <is>
          <t>Q-004</t>
        </is>
      </c>
      <c r="B8" s="34" t="n"/>
      <c r="C8" s="34" t="n"/>
      <c r="D8" s="34" t="n"/>
      <c r="E8" s="34" t="n"/>
      <c r="F8" s="24" t="inlineStr">
        <is>
          <t>Medium</t>
        </is>
      </c>
      <c r="G8" s="34" t="n"/>
      <c r="H8" s="34" t="n"/>
      <c r="I8" s="34" t="n"/>
      <c r="J8" s="34" t="n"/>
      <c r="K8" s="39" t="inlineStr">
        <is>
          <t>Open</t>
        </is>
      </c>
      <c r="L8" s="34" t="n"/>
      <c r="M8" s="1" t="n"/>
      <c r="N8" s="1" t="n"/>
      <c r="O8" s="1" t="n"/>
      <c r="P8" s="1" t="n"/>
      <c r="Q8" s="1" t="n"/>
      <c r="R8" s="1" t="n"/>
      <c r="S8" s="1" t="n"/>
      <c r="T8" s="1" t="n"/>
      <c r="U8" s="1" t="n"/>
      <c r="V8" s="1" t="n"/>
      <c r="W8" s="1" t="n"/>
      <c r="X8" s="1" t="n"/>
      <c r="Y8" s="1" t="n"/>
      <c r="Z8" s="1" t="n"/>
    </row>
    <row r="9" ht="14.25" customHeight="1" s="118">
      <c r="A9" s="16" t="inlineStr">
        <is>
          <t>Q-005</t>
        </is>
      </c>
      <c r="B9" s="37" t="n"/>
      <c r="C9" s="37" t="n"/>
      <c r="D9" s="37" t="n"/>
      <c r="E9" s="37" t="n"/>
      <c r="F9" s="24" t="inlineStr">
        <is>
          <t>Medium</t>
        </is>
      </c>
      <c r="G9" s="37" t="n"/>
      <c r="H9" s="37" t="n"/>
      <c r="I9" s="37" t="n"/>
      <c r="J9" s="37" t="n"/>
      <c r="K9" s="39" t="inlineStr">
        <is>
          <t>Open</t>
        </is>
      </c>
      <c r="L9" s="37" t="n"/>
      <c r="M9" s="1" t="n"/>
      <c r="N9" s="1" t="n"/>
      <c r="O9" s="1" t="n"/>
      <c r="P9" s="1" t="n"/>
      <c r="Q9" s="1" t="n"/>
      <c r="R9" s="1" t="n"/>
      <c r="S9" s="1" t="n"/>
      <c r="T9" s="1" t="n"/>
      <c r="U9" s="1" t="n"/>
      <c r="V9" s="1" t="n"/>
      <c r="W9" s="1" t="n"/>
      <c r="X9" s="1" t="n"/>
      <c r="Y9" s="1" t="n"/>
      <c r="Z9" s="1" t="n"/>
    </row>
    <row r="10" ht="14.25" customHeight="1" s="118">
      <c r="A10" s="16" t="inlineStr">
        <is>
          <t>Q-006</t>
        </is>
      </c>
      <c r="B10" s="34" t="n"/>
      <c r="C10" s="34" t="n"/>
      <c r="D10" s="34" t="n"/>
      <c r="E10" s="34" t="n"/>
      <c r="F10" s="24" t="inlineStr">
        <is>
          <t>Medium</t>
        </is>
      </c>
      <c r="G10" s="34" t="n"/>
      <c r="H10" s="34" t="n"/>
      <c r="I10" s="34" t="n"/>
      <c r="J10" s="34" t="n"/>
      <c r="K10" s="39" t="inlineStr">
        <is>
          <t>Open</t>
        </is>
      </c>
      <c r="L10" s="34" t="n"/>
      <c r="M10" s="1" t="n"/>
      <c r="N10" s="1" t="n"/>
      <c r="O10" s="1" t="n"/>
      <c r="P10" s="1" t="n"/>
      <c r="Q10" s="1" t="n"/>
      <c r="R10" s="1" t="n"/>
      <c r="S10" s="1" t="n"/>
      <c r="T10" s="1" t="n"/>
      <c r="U10" s="1" t="n"/>
      <c r="V10" s="1" t="n"/>
      <c r="W10" s="1" t="n"/>
      <c r="X10" s="1" t="n"/>
      <c r="Y10" s="1" t="n"/>
      <c r="Z10" s="1" t="n"/>
    </row>
    <row r="11" ht="14.25" customHeight="1" s="118">
      <c r="A11" s="16" t="inlineStr">
        <is>
          <t>Q-007</t>
        </is>
      </c>
      <c r="B11" s="37" t="n"/>
      <c r="C11" s="37" t="n"/>
      <c r="D11" s="37" t="n"/>
      <c r="E11" s="37" t="n"/>
      <c r="F11" s="24" t="inlineStr">
        <is>
          <t>Medium</t>
        </is>
      </c>
      <c r="G11" s="37" t="n"/>
      <c r="H11" s="37" t="n"/>
      <c r="I11" s="37" t="n"/>
      <c r="J11" s="37" t="n"/>
      <c r="K11" s="39" t="inlineStr">
        <is>
          <t>Open</t>
        </is>
      </c>
      <c r="L11" s="37" t="n"/>
      <c r="M11" s="1" t="n"/>
      <c r="N11" s="1" t="n"/>
      <c r="O11" s="1" t="n"/>
      <c r="P11" s="1" t="n"/>
      <c r="Q11" s="1" t="n"/>
      <c r="R11" s="1" t="n"/>
      <c r="S11" s="1" t="n"/>
      <c r="T11" s="1" t="n"/>
      <c r="U11" s="1" t="n"/>
      <c r="V11" s="1" t="n"/>
      <c r="W11" s="1" t="n"/>
      <c r="X11" s="1" t="n"/>
      <c r="Y11" s="1" t="n"/>
      <c r="Z11" s="1" t="n"/>
    </row>
    <row r="12" ht="14.25" customHeight="1" s="118">
      <c r="A12" s="16" t="inlineStr">
        <is>
          <t>Q-008</t>
        </is>
      </c>
      <c r="B12" s="34" t="n"/>
      <c r="C12" s="34" t="n"/>
      <c r="D12" s="34" t="n"/>
      <c r="E12" s="34" t="n"/>
      <c r="F12" s="24" t="inlineStr">
        <is>
          <t>Medium</t>
        </is>
      </c>
      <c r="G12" s="34" t="n"/>
      <c r="H12" s="34" t="n"/>
      <c r="I12" s="34" t="n"/>
      <c r="J12" s="34" t="n"/>
      <c r="K12" s="39" t="inlineStr">
        <is>
          <t>Open</t>
        </is>
      </c>
      <c r="L12" s="34" t="n"/>
      <c r="M12" s="1" t="n"/>
      <c r="N12" s="1" t="n"/>
      <c r="O12" s="1" t="n"/>
      <c r="P12" s="1" t="n"/>
      <c r="Q12" s="1" t="n"/>
      <c r="R12" s="1" t="n"/>
      <c r="S12" s="1" t="n"/>
      <c r="T12" s="1" t="n"/>
      <c r="U12" s="1" t="n"/>
      <c r="V12" s="1" t="n"/>
      <c r="W12" s="1" t="n"/>
      <c r="X12" s="1" t="n"/>
      <c r="Y12" s="1" t="n"/>
      <c r="Z12" s="1" t="n"/>
    </row>
    <row r="13" ht="14.25" customHeight="1" s="118">
      <c r="A13" s="16" t="inlineStr">
        <is>
          <t>Q-009</t>
        </is>
      </c>
      <c r="B13" s="37" t="n"/>
      <c r="C13" s="37" t="n"/>
      <c r="D13" s="37" t="n"/>
      <c r="E13" s="37" t="n"/>
      <c r="F13" s="24" t="inlineStr">
        <is>
          <t>Medium</t>
        </is>
      </c>
      <c r="G13" s="37" t="n"/>
      <c r="H13" s="37" t="n"/>
      <c r="I13" s="37" t="n"/>
      <c r="J13" s="37" t="n"/>
      <c r="K13" s="39" t="inlineStr">
        <is>
          <t>Open</t>
        </is>
      </c>
      <c r="L13" s="37" t="n"/>
      <c r="M13" s="1" t="n"/>
      <c r="N13" s="1" t="n"/>
      <c r="O13" s="1" t="n"/>
      <c r="P13" s="1" t="n"/>
      <c r="Q13" s="1" t="n"/>
      <c r="R13" s="1" t="n"/>
      <c r="S13" s="1" t="n"/>
      <c r="T13" s="1" t="n"/>
      <c r="U13" s="1" t="n"/>
      <c r="V13" s="1" t="n"/>
      <c r="W13" s="1" t="n"/>
      <c r="X13" s="1" t="n"/>
      <c r="Y13" s="1" t="n"/>
      <c r="Z13" s="1" t="n"/>
    </row>
    <row r="14" ht="14.25" customHeight="1" s="118">
      <c r="A14" s="16" t="inlineStr">
        <is>
          <t>Q-010</t>
        </is>
      </c>
      <c r="B14" s="34" t="n"/>
      <c r="C14" s="34" t="n"/>
      <c r="D14" s="34" t="n"/>
      <c r="E14" s="34" t="n"/>
      <c r="F14" s="24" t="inlineStr">
        <is>
          <t>Medium</t>
        </is>
      </c>
      <c r="G14" s="34" t="n"/>
      <c r="H14" s="34" t="n"/>
      <c r="I14" s="34" t="n"/>
      <c r="J14" s="34" t="n"/>
      <c r="K14" s="39" t="inlineStr">
        <is>
          <t>Open</t>
        </is>
      </c>
      <c r="L14" s="34" t="n"/>
      <c r="M14" s="1" t="n"/>
      <c r="N14" s="1" t="n"/>
      <c r="O14" s="1" t="n"/>
      <c r="P14" s="1" t="n"/>
      <c r="Q14" s="1" t="n"/>
      <c r="R14" s="1" t="n"/>
      <c r="S14" s="1" t="n"/>
      <c r="T14" s="1" t="n"/>
      <c r="U14" s="1" t="n"/>
      <c r="V14" s="1" t="n"/>
      <c r="W14" s="1" t="n"/>
      <c r="X14" s="1" t="n"/>
      <c r="Y14" s="1" t="n"/>
      <c r="Z14" s="1" t="n"/>
    </row>
    <row r="15" ht="14.25" customHeight="1" s="118">
      <c r="A15" s="16" t="inlineStr">
        <is>
          <t>Q-011</t>
        </is>
      </c>
      <c r="B15" s="37" t="n"/>
      <c r="C15" s="37" t="n"/>
      <c r="D15" s="37" t="n"/>
      <c r="E15" s="37" t="n"/>
      <c r="F15" s="24" t="inlineStr">
        <is>
          <t>Medium</t>
        </is>
      </c>
      <c r="G15" s="37" t="n"/>
      <c r="H15" s="37" t="n"/>
      <c r="I15" s="37" t="n"/>
      <c r="J15" s="37" t="n"/>
      <c r="K15" s="39" t="inlineStr">
        <is>
          <t>Open</t>
        </is>
      </c>
      <c r="L15" s="37" t="n"/>
      <c r="M15" s="1" t="n"/>
      <c r="N15" s="1" t="n"/>
      <c r="O15" s="1" t="n"/>
      <c r="P15" s="1" t="n"/>
      <c r="Q15" s="1" t="n"/>
      <c r="R15" s="1" t="n"/>
      <c r="S15" s="1" t="n"/>
      <c r="T15" s="1" t="n"/>
      <c r="U15" s="1" t="n"/>
      <c r="V15" s="1" t="n"/>
      <c r="W15" s="1" t="n"/>
      <c r="X15" s="1" t="n"/>
      <c r="Y15" s="1" t="n"/>
      <c r="Z15" s="1" t="n"/>
    </row>
    <row r="16" ht="14.25" customHeight="1" s="118">
      <c r="A16" s="16" t="inlineStr">
        <is>
          <t>Q-012</t>
        </is>
      </c>
      <c r="B16" s="34" t="n"/>
      <c r="C16" s="34" t="n"/>
      <c r="D16" s="34" t="n"/>
      <c r="E16" s="34" t="n"/>
      <c r="F16" s="24" t="inlineStr">
        <is>
          <t>Medium</t>
        </is>
      </c>
      <c r="G16" s="34" t="n"/>
      <c r="H16" s="34" t="n"/>
      <c r="I16" s="34" t="n"/>
      <c r="J16" s="34" t="n"/>
      <c r="K16" s="39" t="inlineStr">
        <is>
          <t>Open</t>
        </is>
      </c>
      <c r="L16" s="34" t="n"/>
      <c r="M16" s="1" t="n"/>
      <c r="N16" s="1" t="n"/>
      <c r="O16" s="1" t="n"/>
      <c r="P16" s="1" t="n"/>
      <c r="Q16" s="1" t="n"/>
      <c r="R16" s="1" t="n"/>
      <c r="S16" s="1" t="n"/>
      <c r="T16" s="1" t="n"/>
      <c r="U16" s="1" t="n"/>
      <c r="V16" s="1" t="n"/>
      <c r="W16" s="1" t="n"/>
      <c r="X16" s="1" t="n"/>
      <c r="Y16" s="1" t="n"/>
      <c r="Z16" s="1" t="n"/>
    </row>
    <row r="17" ht="14.25" customHeight="1" s="118">
      <c r="A17" s="16" t="inlineStr">
        <is>
          <t>Q-013</t>
        </is>
      </c>
      <c r="B17" s="37" t="n"/>
      <c r="C17" s="37" t="n"/>
      <c r="D17" s="37" t="n"/>
      <c r="E17" s="37" t="n"/>
      <c r="F17" s="24" t="inlineStr">
        <is>
          <t>Medium</t>
        </is>
      </c>
      <c r="G17" s="37" t="n"/>
      <c r="H17" s="37" t="n"/>
      <c r="I17" s="37" t="n"/>
      <c r="J17" s="37" t="n"/>
      <c r="K17" s="39" t="inlineStr">
        <is>
          <t>Open</t>
        </is>
      </c>
      <c r="L17" s="37" t="n"/>
      <c r="M17" s="1" t="n"/>
      <c r="N17" s="1" t="n"/>
      <c r="O17" s="1" t="n"/>
      <c r="P17" s="1" t="n"/>
      <c r="Q17" s="1" t="n"/>
      <c r="R17" s="1" t="n"/>
      <c r="S17" s="1" t="n"/>
      <c r="T17" s="1" t="n"/>
      <c r="U17" s="1" t="n"/>
      <c r="V17" s="1" t="n"/>
      <c r="W17" s="1" t="n"/>
      <c r="X17" s="1" t="n"/>
      <c r="Y17" s="1" t="n"/>
      <c r="Z17" s="1" t="n"/>
    </row>
    <row r="18" ht="14.25" customHeight="1" s="118">
      <c r="A18" s="16" t="inlineStr">
        <is>
          <t>Q-014</t>
        </is>
      </c>
      <c r="B18" s="34" t="n"/>
      <c r="C18" s="34" t="n"/>
      <c r="D18" s="34" t="n"/>
      <c r="E18" s="34" t="n"/>
      <c r="F18" s="24" t="inlineStr">
        <is>
          <t>Medium</t>
        </is>
      </c>
      <c r="G18" s="34" t="n"/>
      <c r="H18" s="34" t="n"/>
      <c r="I18" s="34" t="n"/>
      <c r="J18" s="34" t="n"/>
      <c r="K18" s="39" t="inlineStr">
        <is>
          <t>Open</t>
        </is>
      </c>
      <c r="L18" s="34" t="n"/>
      <c r="M18" s="1" t="n"/>
      <c r="N18" s="1" t="n"/>
      <c r="O18" s="1" t="n"/>
      <c r="P18" s="1" t="n"/>
      <c r="Q18" s="1" t="n"/>
      <c r="R18" s="1" t="n"/>
      <c r="S18" s="1" t="n"/>
      <c r="T18" s="1" t="n"/>
      <c r="U18" s="1" t="n"/>
      <c r="V18" s="1" t="n"/>
      <c r="W18" s="1" t="n"/>
      <c r="X18" s="1" t="n"/>
      <c r="Y18" s="1" t="n"/>
      <c r="Z18" s="1" t="n"/>
    </row>
    <row r="19" ht="14.25" customHeight="1" s="118">
      <c r="A19" s="16" t="inlineStr">
        <is>
          <t>Q-015</t>
        </is>
      </c>
      <c r="B19" s="37" t="n"/>
      <c r="C19" s="37" t="n"/>
      <c r="D19" s="37" t="n"/>
      <c r="E19" s="37" t="n"/>
      <c r="F19" s="24" t="inlineStr">
        <is>
          <t>Medium</t>
        </is>
      </c>
      <c r="G19" s="37" t="n"/>
      <c r="H19" s="37" t="n"/>
      <c r="I19" s="37" t="n"/>
      <c r="J19" s="37" t="n"/>
      <c r="K19" s="39" t="inlineStr">
        <is>
          <t>Open</t>
        </is>
      </c>
      <c r="L19" s="37" t="n"/>
      <c r="M19" s="1" t="n"/>
      <c r="N19" s="1" t="n"/>
      <c r="O19" s="1" t="n"/>
      <c r="P19" s="1" t="n"/>
      <c r="Q19" s="1" t="n"/>
      <c r="R19" s="1" t="n"/>
      <c r="S19" s="1" t="n"/>
      <c r="T19" s="1" t="n"/>
      <c r="U19" s="1" t="n"/>
      <c r="V19" s="1" t="n"/>
      <c r="W19" s="1" t="n"/>
      <c r="X19" s="1" t="n"/>
      <c r="Y19" s="1" t="n"/>
      <c r="Z19" s="1" t="n"/>
    </row>
    <row r="20" ht="14.25" customHeight="1" s="118">
      <c r="A20" s="16" t="inlineStr">
        <is>
          <t>Q-016</t>
        </is>
      </c>
      <c r="B20" s="34" t="n"/>
      <c r="C20" s="34" t="n"/>
      <c r="D20" s="34" t="n"/>
      <c r="E20" s="34" t="n"/>
      <c r="F20" s="24" t="inlineStr">
        <is>
          <t>Medium</t>
        </is>
      </c>
      <c r="G20" s="34" t="n"/>
      <c r="H20" s="34" t="n"/>
      <c r="I20" s="34" t="n"/>
      <c r="J20" s="34" t="n"/>
      <c r="K20" s="39" t="inlineStr">
        <is>
          <t>Open</t>
        </is>
      </c>
      <c r="L20" s="34" t="n"/>
      <c r="M20" s="1" t="n"/>
      <c r="N20" s="1" t="n"/>
      <c r="O20" s="1" t="n"/>
      <c r="P20" s="1" t="n"/>
      <c r="Q20" s="1" t="n"/>
      <c r="R20" s="1" t="n"/>
      <c r="S20" s="1" t="n"/>
      <c r="T20" s="1" t="n"/>
      <c r="U20" s="1" t="n"/>
      <c r="V20" s="1" t="n"/>
      <c r="W20" s="1" t="n"/>
      <c r="X20" s="1" t="n"/>
      <c r="Y20" s="1" t="n"/>
      <c r="Z20" s="1" t="n"/>
    </row>
    <row r="21" ht="14.25" customHeight="1" s="118">
      <c r="A21" s="16" t="inlineStr">
        <is>
          <t>Q-017</t>
        </is>
      </c>
      <c r="B21" s="37" t="n"/>
      <c r="C21" s="37" t="n"/>
      <c r="D21" s="37" t="n"/>
      <c r="E21" s="37" t="n"/>
      <c r="F21" s="24" t="inlineStr">
        <is>
          <t>Medium</t>
        </is>
      </c>
      <c r="G21" s="37" t="n"/>
      <c r="H21" s="37" t="n"/>
      <c r="I21" s="37" t="n"/>
      <c r="J21" s="37" t="n"/>
      <c r="K21" s="39" t="inlineStr">
        <is>
          <t>Open</t>
        </is>
      </c>
      <c r="L21" s="37" t="n"/>
      <c r="M21" s="1" t="n"/>
      <c r="N21" s="1" t="n"/>
      <c r="O21" s="1" t="n"/>
      <c r="P21" s="1" t="n"/>
      <c r="Q21" s="1" t="n"/>
      <c r="R21" s="1" t="n"/>
      <c r="S21" s="1" t="n"/>
      <c r="T21" s="1" t="n"/>
      <c r="U21" s="1" t="n"/>
      <c r="V21" s="1" t="n"/>
      <c r="W21" s="1" t="n"/>
      <c r="X21" s="1" t="n"/>
      <c r="Y21" s="1" t="n"/>
      <c r="Z21" s="1" t="n"/>
    </row>
    <row r="22" ht="14.25" customHeight="1" s="118">
      <c r="A22" s="16" t="inlineStr">
        <is>
          <t>Q-018</t>
        </is>
      </c>
      <c r="B22" s="34" t="n"/>
      <c r="C22" s="34" t="n"/>
      <c r="D22" s="34" t="n"/>
      <c r="E22" s="34" t="n"/>
      <c r="F22" s="24" t="inlineStr">
        <is>
          <t>Medium</t>
        </is>
      </c>
      <c r="G22" s="34" t="n"/>
      <c r="H22" s="34" t="n"/>
      <c r="I22" s="34" t="n"/>
      <c r="J22" s="34" t="n"/>
      <c r="K22" s="39" t="inlineStr">
        <is>
          <t>Open</t>
        </is>
      </c>
      <c r="L22" s="34" t="n"/>
      <c r="M22" s="1" t="n"/>
      <c r="N22" s="1" t="n"/>
      <c r="O22" s="1" t="n"/>
      <c r="P22" s="1" t="n"/>
      <c r="Q22" s="1" t="n"/>
      <c r="R22" s="1" t="n"/>
      <c r="S22" s="1" t="n"/>
      <c r="T22" s="1" t="n"/>
      <c r="U22" s="1" t="n"/>
      <c r="V22" s="1" t="n"/>
      <c r="W22" s="1" t="n"/>
      <c r="X22" s="1" t="n"/>
      <c r="Y22" s="1" t="n"/>
      <c r="Z22" s="1" t="n"/>
    </row>
    <row r="23" ht="14.25" customHeight="1" s="118">
      <c r="A23" s="16" t="inlineStr">
        <is>
          <t>Q-019</t>
        </is>
      </c>
      <c r="B23" s="37" t="n"/>
      <c r="C23" s="37" t="n"/>
      <c r="D23" s="37" t="n"/>
      <c r="E23" s="37" t="n"/>
      <c r="F23" s="24" t="inlineStr">
        <is>
          <t>Medium</t>
        </is>
      </c>
      <c r="G23" s="37" t="n"/>
      <c r="H23" s="37" t="n"/>
      <c r="I23" s="37" t="n"/>
      <c r="J23" s="37" t="n"/>
      <c r="K23" s="39" t="inlineStr">
        <is>
          <t>Open</t>
        </is>
      </c>
      <c r="L23" s="37" t="n"/>
      <c r="M23" s="1" t="n"/>
      <c r="N23" s="1" t="n"/>
      <c r="O23" s="1" t="n"/>
      <c r="P23" s="1" t="n"/>
      <c r="Q23" s="1" t="n"/>
      <c r="R23" s="1" t="n"/>
      <c r="S23" s="1" t="n"/>
      <c r="T23" s="1" t="n"/>
      <c r="U23" s="1" t="n"/>
      <c r="V23" s="1" t="n"/>
      <c r="W23" s="1" t="n"/>
      <c r="X23" s="1" t="n"/>
      <c r="Y23" s="1" t="n"/>
      <c r="Z23" s="1" t="n"/>
    </row>
    <row r="24" ht="14.25" customHeight="1" s="118">
      <c r="A24" s="16" t="inlineStr">
        <is>
          <t>Q-020</t>
        </is>
      </c>
      <c r="B24" s="34" t="n"/>
      <c r="C24" s="34" t="n"/>
      <c r="D24" s="34" t="n"/>
      <c r="E24" s="34" t="n"/>
      <c r="F24" s="24" t="inlineStr">
        <is>
          <t>Medium</t>
        </is>
      </c>
      <c r="G24" s="34" t="n"/>
      <c r="H24" s="34" t="n"/>
      <c r="I24" s="34" t="n"/>
      <c r="J24" s="34" t="n"/>
      <c r="K24" s="39" t="inlineStr">
        <is>
          <t>Open</t>
        </is>
      </c>
      <c r="L24" s="34" t="n"/>
      <c r="M24" s="1" t="n"/>
      <c r="N24" s="1" t="n"/>
      <c r="O24" s="1" t="n"/>
      <c r="P24" s="1" t="n"/>
      <c r="Q24" s="1" t="n"/>
      <c r="R24" s="1" t="n"/>
      <c r="S24" s="1" t="n"/>
      <c r="T24" s="1" t="n"/>
      <c r="U24" s="1" t="n"/>
      <c r="V24" s="1" t="n"/>
      <c r="W24" s="1" t="n"/>
      <c r="X24" s="1" t="n"/>
      <c r="Y24" s="1" t="n"/>
      <c r="Z24" s="1" t="n"/>
    </row>
    <row r="25" ht="14.25" customHeight="1" s="11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4.25" customHeight="1" s="11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4.25" customHeight="1" s="11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4.25" customHeight="1" s="11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4.25" customHeight="1" s="11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11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4.25" customHeight="1" s="11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4.25" customHeight="1" s="11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4.25" customHeight="1" s="11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4.25" customHeight="1" s="11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25" customHeight="1" s="11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1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1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1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11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11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11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11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11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11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1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1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1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1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1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1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1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1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1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1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1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1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1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1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1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1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1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1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1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1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1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1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1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1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1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1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1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1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1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1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1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1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1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1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1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1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1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1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1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1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1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1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1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1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1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1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1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1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1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1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1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1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1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1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1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1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1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1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1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1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1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1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1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1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1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1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1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1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1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1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1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1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1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1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1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1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1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1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1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1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1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1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1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1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1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1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1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1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1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1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1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1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1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1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1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1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1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1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1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1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1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1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1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1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1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1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1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1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1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1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1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1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1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1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1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1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1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1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1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1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1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1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1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1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1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1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1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1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1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1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1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1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1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1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1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1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1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1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1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1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1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1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1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1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1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1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1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1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1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1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1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1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1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1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1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11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11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11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11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11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11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11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11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11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11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11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11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11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11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11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11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11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1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11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11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1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s="1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s="1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s="1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A2:L2"/>
    <mergeCell ref="A1:L1"/>
  </mergeCells>
  <conditionalFormatting sqref="K5:K1000">
    <cfRule type="cellIs" priority="1" operator="equal" dxfId="0">
      <formula>"Done"</formula>
    </cfRule>
    <cfRule type="cellIs" priority="2" operator="equal" dxfId="0">
      <formula>"Completed"</formula>
    </cfRule>
    <cfRule type="cellIs" priority="3" operator="equal" dxfId="0">
      <formula>"Closed"</formula>
    </cfRule>
    <cfRule type="cellIs" priority="4" operator="equal" dxfId="0">
      <formula>"Fixed"</formula>
    </cfRule>
    <cfRule type="cellIs" priority="5" operator="equal" dxfId="0">
      <formula>"Approved"</formula>
    </cfRule>
    <cfRule type="cellIs" priority="6" operator="equal" dxfId="1">
      <formula>"In Progress"</formula>
    </cfRule>
    <cfRule type="cellIs" priority="7" operator="equal" dxfId="2">
      <formula>"Open"</formula>
    </cfRule>
    <cfRule type="cellIs" priority="8" operator="equal" dxfId="1">
      <formula>"Pending"</formula>
    </cfRule>
    <cfRule type="cellIs" priority="9" operator="equal" dxfId="2">
      <formula>"Blocked"</formula>
    </cfRule>
    <cfRule type="cellIs" priority="10" operator="equal" dxfId="3">
      <formula>"Cancelled"</formula>
    </cfRule>
    <cfRule type="cellIs" priority="11" operator="equal" dxfId="2">
      <formula>"Rejected"</formula>
    </cfRule>
    <cfRule type="cellIs" priority="12" operator="equal" dxfId="4">
      <formula>"Submitted"</formula>
    </cfRule>
  </conditionalFormatting>
  <conditionalFormatting sqref="F5:F1000">
    <cfRule type="cellIs" priority="13" operator="equal" dxfId="2">
      <formula>"Critical"</formula>
    </cfRule>
    <cfRule type="cellIs" priority="14" operator="equal" dxfId="2">
      <formula>"High"</formula>
    </cfRule>
    <cfRule type="cellIs" priority="15" operator="equal" dxfId="1">
      <formula>"Medium"</formula>
    </cfRule>
    <cfRule type="cellIs" priority="16" operator="equal" dxfId="0">
      <formula>"Low"</formula>
    </cfRule>
  </conditionalFormatting>
  <dataValidations count="2">
    <dataValidation sqref="K5:K200" showDropDown="0" showInputMessage="0" showErrorMessage="0" allowBlank="1" type="list">
      <formula1>"Open,Answered,Closed,Cancelled"</formula1>
    </dataValidation>
    <dataValidation sqref="F5:F200" showDropDown="0" showInputMessage="0" showErrorMessage="0" allowBlank="1" type="list">
      <formula1>"Critical,High,Medium,Low"</formula1>
    </dataValidation>
  </dataValidations>
  <pageMargins left="0.75" right="0.75" top="1" bottom="1" header="0" footer="0"/>
  <pageSetup orientation="landscape"/>
</worksheet>
</file>

<file path=xl/worksheets/sheet5.xml><?xml version="1.0" encoding="utf-8"?>
<worksheet xmlns="http://schemas.openxmlformats.org/spreadsheetml/2006/main">
  <sheetPr>
    <tabColor rgb="FF1F6B75"/>
    <outlinePr summaryBelow="1" summaryRight="1"/>
    <pageSetUpPr/>
  </sheetPr>
  <dimension ref="A1:Z1000"/>
  <sheetViews>
    <sheetView showGridLines="0" workbookViewId="0">
      <pane ySplit="4" topLeftCell="A5" activePane="bottomLeft" state="frozen"/>
      <selection pane="bottomLeft" activeCell="B6" sqref="B6"/>
    </sheetView>
  </sheetViews>
  <sheetFormatPr baseColWidth="8" defaultColWidth="14.43" defaultRowHeight="15" customHeight="1"/>
  <cols>
    <col width="10.86" customWidth="1" style="118" min="1" max="1"/>
    <col width="13.71" customWidth="1" style="118" min="2" max="2"/>
    <col width="16" customWidth="1" style="118" min="3" max="3"/>
    <col width="11.43" customWidth="1" style="118" min="4" max="4"/>
    <col width="34.29" customWidth="1" style="118" min="5" max="5"/>
    <col width="16" customWidth="1" style="118" min="6" max="7"/>
    <col width="11.43" customWidth="1" style="118" min="8" max="8"/>
    <col width="27.43" customWidth="1" style="118" min="9" max="9"/>
    <col width="16" customWidth="1" style="118" min="10" max="10"/>
    <col width="13.71" customWidth="1" style="118" min="11" max="11"/>
    <col width="16" customWidth="1" style="118" min="12" max="12"/>
    <col width="13.71" customWidth="1" style="118" min="13" max="13"/>
    <col width="22.86" customWidth="1" style="118" min="14" max="14"/>
    <col width="16.57" customWidth="1" style="118" min="15" max="26"/>
  </cols>
  <sheetData>
    <row r="1" ht="14.25" customHeight="1" s="118">
      <c r="A1" s="2" t="inlineStr">
        <is>
          <t>TimeLogs — Project Timesheets</t>
        </is>
      </c>
      <c r="O1" s="1" t="n"/>
      <c r="P1" s="1" t="n"/>
      <c r="Q1" s="1" t="n"/>
      <c r="R1" s="1" t="n"/>
      <c r="S1" s="1" t="n"/>
      <c r="T1" s="1" t="n"/>
      <c r="U1" s="1" t="n"/>
      <c r="V1" s="1" t="n"/>
      <c r="W1" s="1" t="n"/>
      <c r="X1" s="1" t="n"/>
      <c r="Y1" s="1" t="n"/>
      <c r="Z1" s="1" t="n"/>
    </row>
    <row r="2" ht="14.25" customHeight="1" s="118">
      <c r="A2" s="5" t="inlineStr">
        <is>
          <t>Log time daily  ·  Link every entry to a WBS Ref  ·  Approved by PM  ·  # Hours must be filled — leave no blank</t>
        </is>
      </c>
      <c r="O2" s="1" t="n"/>
      <c r="P2" s="1" t="n"/>
      <c r="Q2" s="1" t="n"/>
      <c r="R2" s="1" t="n"/>
      <c r="S2" s="1" t="n"/>
      <c r="T2" s="1" t="n"/>
      <c r="U2" s="1" t="n"/>
      <c r="V2" s="1" t="n"/>
      <c r="W2" s="1" t="n"/>
      <c r="X2" s="1" t="n"/>
      <c r="Y2" s="1" t="n"/>
      <c r="Z2" s="1" t="n"/>
    </row>
    <row r="3" ht="14.25" customHeight="1" s="118">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25" customHeight="1" s="118">
      <c r="A4" s="85" t="inlineStr">
        <is>
          <t>#</t>
        </is>
      </c>
      <c r="B4" s="85" t="inlineStr">
        <is>
          <t>Date</t>
        </is>
      </c>
      <c r="C4" s="85" t="inlineStr">
        <is>
          <t>Reporter</t>
        </is>
      </c>
      <c r="D4" s="85" t="inlineStr">
        <is>
          <t>WBS Ref</t>
        </is>
      </c>
      <c r="E4" s="85" t="inlineStr">
        <is>
          <t>Task Description</t>
        </is>
      </c>
      <c r="F4" s="85" t="inlineStr">
        <is>
          <t>Activity</t>
        </is>
      </c>
      <c r="G4" s="85" t="inlineStr">
        <is>
          <t>Type</t>
        </is>
      </c>
      <c r="H4" s="85" t="inlineStr">
        <is>
          <t># Hours</t>
        </is>
      </c>
      <c r="I4" s="85" t="inlineStr">
        <is>
          <t>Product / Work Product</t>
        </is>
      </c>
      <c r="J4" s="85" t="inlineStr">
        <is>
          <t>Iteration</t>
        </is>
      </c>
      <c r="K4" s="85" t="inlineStr">
        <is>
          <t>Status</t>
        </is>
      </c>
      <c r="L4" s="85" t="inlineStr">
        <is>
          <t>Approved By</t>
        </is>
      </c>
      <c r="M4" s="85" t="inlineStr">
        <is>
          <t>Updated</t>
        </is>
      </c>
      <c r="N4" s="85" t="inlineStr">
        <is>
          <t>Notes</t>
        </is>
      </c>
      <c r="O4" s="1" t="n"/>
      <c r="P4" s="1" t="n"/>
      <c r="Q4" s="1" t="n"/>
      <c r="R4" s="1" t="n"/>
      <c r="S4" s="1" t="n"/>
      <c r="T4" s="1" t="n"/>
      <c r="U4" s="1" t="n"/>
      <c r="V4" s="1" t="n"/>
      <c r="W4" s="1" t="n"/>
      <c r="X4" s="1" t="n"/>
      <c r="Y4" s="1" t="n"/>
      <c r="Z4" s="1" t="n"/>
    </row>
    <row r="5" ht="14.25" customHeight="1" s="118">
      <c r="A5" s="86" t="inlineStr">
        <is>
          <t>TL-001</t>
        </is>
      </c>
      <c r="B5" s="87" t="inlineStr">
        <is>
          <t>2024-10-13</t>
        </is>
      </c>
      <c r="C5" s="88" t="n"/>
      <c r="D5" s="87" t="inlineStr">
        <is>
          <t>WBS-1</t>
        </is>
      </c>
      <c r="E5" s="88" t="inlineStr">
        <is>
          <t>Set up project repository and CI pipeline</t>
        </is>
      </c>
      <c r="F5" s="88" t="inlineStr">
        <is>
          <t>Coding</t>
        </is>
      </c>
      <c r="G5" s="88" t="inlineStr">
        <is>
          <t>Newly-Created</t>
        </is>
      </c>
      <c r="H5" s="24" t="n">
        <v>2</v>
      </c>
      <c r="I5" s="88" t="inlineStr">
        <is>
          <t>Software Package</t>
        </is>
      </c>
      <c r="J5" s="87" t="inlineStr">
        <is>
          <t>Iteration 1</t>
        </is>
      </c>
      <c r="K5" s="28" t="inlineStr">
        <is>
          <t>Submitted</t>
        </is>
      </c>
      <c r="L5" s="88" t="n"/>
      <c r="M5" s="87" t="inlineStr">
        <is>
          <t>2024-10-26</t>
        </is>
      </c>
      <c r="N5" s="88" t="n"/>
      <c r="O5" s="1" t="n"/>
      <c r="P5" s="1" t="n"/>
      <c r="Q5" s="1" t="n"/>
      <c r="R5" s="1" t="n"/>
      <c r="S5" s="1" t="n"/>
      <c r="T5" s="1" t="n"/>
      <c r="U5" s="1" t="n"/>
      <c r="V5" s="1" t="n"/>
      <c r="W5" s="1" t="n"/>
      <c r="X5" s="1" t="n"/>
      <c r="Y5" s="1" t="n"/>
      <c r="Z5" s="1" t="n"/>
    </row>
    <row r="6" ht="14.25" customHeight="1" s="118">
      <c r="A6" s="86" t="inlineStr">
        <is>
          <t>TL-002</t>
        </is>
      </c>
      <c r="B6" s="45" t="n"/>
      <c r="C6" s="43" t="n"/>
      <c r="D6" s="45" t="inlineStr">
        <is>
          <t>WBS-2</t>
        </is>
      </c>
      <c r="E6" s="43" t="inlineStr">
        <is>
          <t>Implement user login API with JWT</t>
        </is>
      </c>
      <c r="F6" s="43" t="inlineStr">
        <is>
          <t>Coding</t>
        </is>
      </c>
      <c r="G6" s="43" t="inlineStr">
        <is>
          <t>Newly-Created</t>
        </is>
      </c>
      <c r="H6" s="24" t="n">
        <v>4</v>
      </c>
      <c r="I6" s="43" t="inlineStr">
        <is>
          <t>Software Package</t>
        </is>
      </c>
      <c r="J6" s="45" t="inlineStr">
        <is>
          <t>Iteration 1</t>
        </is>
      </c>
      <c r="K6" s="28" t="inlineStr">
        <is>
          <t>Submitted</t>
        </is>
      </c>
      <c r="L6" s="43" t="n"/>
      <c r="M6" s="45" t="n"/>
      <c r="N6" s="43" t="n"/>
      <c r="O6" s="1" t="n"/>
      <c r="P6" s="1" t="n"/>
      <c r="Q6" s="1" t="n"/>
      <c r="R6" s="1" t="n"/>
      <c r="S6" s="1" t="n"/>
      <c r="T6" s="1" t="n"/>
      <c r="U6" s="1" t="n"/>
      <c r="V6" s="1" t="n"/>
      <c r="W6" s="1" t="n"/>
      <c r="X6" s="1" t="n"/>
      <c r="Y6" s="1" t="n"/>
      <c r="Z6" s="1" t="n"/>
    </row>
    <row r="7" ht="14.25" customHeight="1" s="118">
      <c r="A7" s="86" t="inlineStr">
        <is>
          <t>TL-003</t>
        </is>
      </c>
      <c r="B7" s="45" t="n"/>
      <c r="C7" s="43" t="n"/>
      <c r="D7" s="45" t="n"/>
      <c r="E7" s="43" t="n"/>
      <c r="F7" s="43" t="n"/>
      <c r="G7" s="43" t="n"/>
      <c r="H7" s="89" t="n"/>
      <c r="I7" s="43" t="n"/>
      <c r="J7" s="45" t="n"/>
      <c r="K7" s="28" t="inlineStr">
        <is>
          <t>Submitted</t>
        </is>
      </c>
      <c r="L7" s="43" t="n"/>
      <c r="M7" s="45" t="n"/>
      <c r="N7" s="43" t="n"/>
      <c r="O7" s="1" t="n"/>
      <c r="P7" s="1" t="n"/>
      <c r="Q7" s="1" t="n"/>
      <c r="R7" s="1" t="n"/>
      <c r="S7" s="1" t="n"/>
      <c r="T7" s="1" t="n"/>
      <c r="U7" s="1" t="n"/>
      <c r="V7" s="1" t="n"/>
      <c r="W7" s="1" t="n"/>
      <c r="X7" s="1" t="n"/>
      <c r="Y7" s="1" t="n"/>
      <c r="Z7" s="1" t="n"/>
    </row>
    <row r="8" ht="14.25" customHeight="1" s="118">
      <c r="A8" s="86" t="inlineStr">
        <is>
          <t>TL-004</t>
        </is>
      </c>
      <c r="B8" s="87" t="n"/>
      <c r="C8" s="88" t="n"/>
      <c r="D8" s="87" t="n"/>
      <c r="E8" s="88" t="n"/>
      <c r="F8" s="88" t="n"/>
      <c r="G8" s="88" t="n"/>
      <c r="H8" s="89" t="n"/>
      <c r="I8" s="88" t="n"/>
      <c r="J8" s="87" t="n"/>
      <c r="K8" s="28" t="inlineStr">
        <is>
          <t>Submitted</t>
        </is>
      </c>
      <c r="L8" s="88" t="n"/>
      <c r="M8" s="87" t="n"/>
      <c r="N8" s="88" t="n"/>
      <c r="O8" s="1" t="n"/>
      <c r="P8" s="1" t="n"/>
      <c r="Q8" s="1" t="n"/>
      <c r="R8" s="1" t="n"/>
      <c r="S8" s="1" t="n"/>
      <c r="T8" s="1" t="n"/>
      <c r="U8" s="1" t="n"/>
      <c r="V8" s="1" t="n"/>
      <c r="W8" s="1" t="n"/>
      <c r="X8" s="1" t="n"/>
      <c r="Y8" s="1" t="n"/>
      <c r="Z8" s="1" t="n"/>
    </row>
    <row r="9" ht="14.25" customHeight="1" s="118">
      <c r="A9" s="86" t="inlineStr">
        <is>
          <t>TL-005</t>
        </is>
      </c>
      <c r="B9" s="45" t="n"/>
      <c r="C9" s="43" t="n"/>
      <c r="D9" s="45" t="n"/>
      <c r="E9" s="43" t="n"/>
      <c r="F9" s="43" t="n"/>
      <c r="G9" s="43" t="n"/>
      <c r="H9" s="89" t="n"/>
      <c r="I9" s="43" t="n"/>
      <c r="J9" s="45" t="n"/>
      <c r="K9" s="28" t="inlineStr">
        <is>
          <t>Submitted</t>
        </is>
      </c>
      <c r="L9" s="43" t="n"/>
      <c r="M9" s="45" t="n"/>
      <c r="N9" s="43" t="n"/>
      <c r="O9" s="1" t="n"/>
      <c r="P9" s="1" t="n"/>
      <c r="Q9" s="1" t="n"/>
      <c r="R9" s="1" t="n"/>
      <c r="S9" s="1" t="n"/>
      <c r="T9" s="1" t="n"/>
      <c r="U9" s="1" t="n"/>
      <c r="V9" s="1" t="n"/>
      <c r="W9" s="1" t="n"/>
      <c r="X9" s="1" t="n"/>
      <c r="Y9" s="1" t="n"/>
      <c r="Z9" s="1" t="n"/>
    </row>
    <row r="10" ht="14.25" customHeight="1" s="118">
      <c r="A10" s="86" t="inlineStr">
        <is>
          <t>TL-006</t>
        </is>
      </c>
      <c r="B10" s="87" t="n"/>
      <c r="C10" s="88" t="n"/>
      <c r="D10" s="87" t="n"/>
      <c r="E10" s="88" t="n"/>
      <c r="F10" s="88" t="n"/>
      <c r="G10" s="88" t="n"/>
      <c r="H10" s="89" t="n"/>
      <c r="I10" s="88" t="n"/>
      <c r="J10" s="87" t="n"/>
      <c r="K10" s="28" t="inlineStr">
        <is>
          <t>Submitted</t>
        </is>
      </c>
      <c r="L10" s="88" t="n"/>
      <c r="M10" s="87" t="n"/>
      <c r="N10" s="88" t="n"/>
      <c r="O10" s="1" t="n"/>
      <c r="P10" s="1" t="n"/>
      <c r="Q10" s="1" t="n"/>
      <c r="R10" s="1" t="n"/>
      <c r="S10" s="1" t="n"/>
      <c r="T10" s="1" t="n"/>
      <c r="U10" s="1" t="n"/>
      <c r="V10" s="1" t="n"/>
      <c r="W10" s="1" t="n"/>
      <c r="X10" s="1" t="n"/>
      <c r="Y10" s="1" t="n"/>
      <c r="Z10" s="1" t="n"/>
    </row>
    <row r="11" ht="14.25" customHeight="1" s="118">
      <c r="A11" s="86" t="inlineStr">
        <is>
          <t>TL-007</t>
        </is>
      </c>
      <c r="B11" s="45" t="n"/>
      <c r="C11" s="43" t="n"/>
      <c r="D11" s="45" t="n"/>
      <c r="E11" s="43" t="n"/>
      <c r="F11" s="43" t="n"/>
      <c r="G11" s="43" t="n"/>
      <c r="H11" s="89" t="n"/>
      <c r="I11" s="43" t="n"/>
      <c r="J11" s="45" t="n"/>
      <c r="K11" s="28" t="inlineStr">
        <is>
          <t>Submitted</t>
        </is>
      </c>
      <c r="L11" s="43" t="n"/>
      <c r="M11" s="45" t="n"/>
      <c r="N11" s="43" t="n"/>
      <c r="O11" s="1" t="n"/>
      <c r="P11" s="1" t="n"/>
      <c r="Q11" s="1" t="n"/>
      <c r="R11" s="1" t="n"/>
      <c r="S11" s="1" t="n"/>
      <c r="T11" s="1" t="n"/>
      <c r="U11" s="1" t="n"/>
      <c r="V11" s="1" t="n"/>
      <c r="W11" s="1" t="n"/>
      <c r="X11" s="1" t="n"/>
      <c r="Y11" s="1" t="n"/>
      <c r="Z11" s="1" t="n"/>
    </row>
    <row r="12" ht="14.25" customHeight="1" s="118">
      <c r="A12" s="86" t="inlineStr">
        <is>
          <t>TL-008</t>
        </is>
      </c>
      <c r="B12" s="87" t="n"/>
      <c r="C12" s="88" t="n"/>
      <c r="D12" s="87" t="n"/>
      <c r="E12" s="88" t="n"/>
      <c r="F12" s="88" t="n"/>
      <c r="G12" s="88" t="n"/>
      <c r="H12" s="89" t="n"/>
      <c r="I12" s="88" t="n"/>
      <c r="J12" s="87" t="n"/>
      <c r="K12" s="28" t="inlineStr">
        <is>
          <t>Submitted</t>
        </is>
      </c>
      <c r="L12" s="88" t="n"/>
      <c r="M12" s="87" t="n"/>
      <c r="N12" s="88" t="n"/>
      <c r="O12" s="1" t="n"/>
      <c r="P12" s="1" t="n"/>
      <c r="Q12" s="1" t="n"/>
      <c r="R12" s="1" t="n"/>
      <c r="S12" s="1" t="n"/>
      <c r="T12" s="1" t="n"/>
      <c r="U12" s="1" t="n"/>
      <c r="V12" s="1" t="n"/>
      <c r="W12" s="1" t="n"/>
      <c r="X12" s="1" t="n"/>
      <c r="Y12" s="1" t="n"/>
      <c r="Z12" s="1" t="n"/>
    </row>
    <row r="13" ht="14.25" customHeight="1" s="118">
      <c r="A13" s="86" t="inlineStr">
        <is>
          <t>TL-009</t>
        </is>
      </c>
      <c r="B13" s="45" t="n"/>
      <c r="C13" s="43" t="n"/>
      <c r="D13" s="45" t="n"/>
      <c r="E13" s="43" t="n"/>
      <c r="F13" s="43" t="n"/>
      <c r="G13" s="43" t="n"/>
      <c r="H13" s="89" t="n"/>
      <c r="I13" s="43" t="n"/>
      <c r="J13" s="45" t="n"/>
      <c r="K13" s="28" t="inlineStr">
        <is>
          <t>Submitted</t>
        </is>
      </c>
      <c r="L13" s="43" t="n"/>
      <c r="M13" s="45" t="n"/>
      <c r="N13" s="43" t="n"/>
      <c r="O13" s="1" t="n"/>
      <c r="P13" s="1" t="n"/>
      <c r="Q13" s="1" t="n"/>
      <c r="R13" s="1" t="n"/>
      <c r="S13" s="1" t="n"/>
      <c r="T13" s="1" t="n"/>
      <c r="U13" s="1" t="n"/>
      <c r="V13" s="1" t="n"/>
      <c r="W13" s="1" t="n"/>
      <c r="X13" s="1" t="n"/>
      <c r="Y13" s="1" t="n"/>
      <c r="Z13" s="1" t="n"/>
    </row>
    <row r="14" ht="14.25" customHeight="1" s="118">
      <c r="A14" s="86" t="inlineStr">
        <is>
          <t>TL-010</t>
        </is>
      </c>
      <c r="B14" s="87" t="n"/>
      <c r="C14" s="88" t="n"/>
      <c r="D14" s="87" t="n"/>
      <c r="E14" s="88" t="n"/>
      <c r="F14" s="88" t="n"/>
      <c r="G14" s="88" t="n"/>
      <c r="H14" s="89" t="n"/>
      <c r="I14" s="88" t="n"/>
      <c r="J14" s="87" t="n"/>
      <c r="K14" s="28" t="inlineStr">
        <is>
          <t>Submitted</t>
        </is>
      </c>
      <c r="L14" s="88" t="n"/>
      <c r="M14" s="87" t="n"/>
      <c r="N14" s="88" t="n"/>
      <c r="O14" s="1" t="n"/>
      <c r="P14" s="1" t="n"/>
      <c r="Q14" s="1" t="n"/>
      <c r="R14" s="1" t="n"/>
      <c r="S14" s="1" t="n"/>
      <c r="T14" s="1" t="n"/>
      <c r="U14" s="1" t="n"/>
      <c r="V14" s="1" t="n"/>
      <c r="W14" s="1" t="n"/>
      <c r="X14" s="1" t="n"/>
      <c r="Y14" s="1" t="n"/>
      <c r="Z14" s="1" t="n"/>
    </row>
    <row r="15" ht="14.25" customHeight="1" s="118">
      <c r="A15" s="86" t="inlineStr">
        <is>
          <t>TL-011</t>
        </is>
      </c>
      <c r="B15" s="45" t="n"/>
      <c r="C15" s="43" t="n"/>
      <c r="D15" s="45" t="n"/>
      <c r="E15" s="43" t="n"/>
      <c r="F15" s="43" t="n"/>
      <c r="G15" s="43" t="n"/>
      <c r="H15" s="89" t="n"/>
      <c r="I15" s="43" t="n"/>
      <c r="J15" s="45" t="n"/>
      <c r="K15" s="28" t="inlineStr">
        <is>
          <t>Submitted</t>
        </is>
      </c>
      <c r="L15" s="43" t="n"/>
      <c r="M15" s="45" t="n"/>
      <c r="N15" s="43" t="n"/>
      <c r="O15" s="1" t="n"/>
      <c r="P15" s="1" t="n"/>
      <c r="Q15" s="1" t="n"/>
      <c r="R15" s="1" t="n"/>
      <c r="S15" s="1" t="n"/>
      <c r="T15" s="1" t="n"/>
      <c r="U15" s="1" t="n"/>
      <c r="V15" s="1" t="n"/>
      <c r="W15" s="1" t="n"/>
      <c r="X15" s="1" t="n"/>
      <c r="Y15" s="1" t="n"/>
      <c r="Z15" s="1" t="n"/>
    </row>
    <row r="16" ht="14.25" customHeight="1" s="118">
      <c r="A16" s="86" t="inlineStr">
        <is>
          <t>TL-012</t>
        </is>
      </c>
      <c r="B16" s="87" t="n"/>
      <c r="C16" s="88" t="n"/>
      <c r="D16" s="87" t="n"/>
      <c r="E16" s="88" t="n"/>
      <c r="F16" s="88" t="n"/>
      <c r="G16" s="88" t="n"/>
      <c r="H16" s="89" t="n"/>
      <c r="I16" s="88" t="n"/>
      <c r="J16" s="87" t="n"/>
      <c r="K16" s="28" t="inlineStr">
        <is>
          <t>Submitted</t>
        </is>
      </c>
      <c r="L16" s="88" t="n"/>
      <c r="M16" s="87" t="n"/>
      <c r="N16" s="88" t="n"/>
      <c r="O16" s="1" t="n"/>
      <c r="P16" s="1" t="n"/>
      <c r="Q16" s="1" t="n"/>
      <c r="R16" s="1" t="n"/>
      <c r="S16" s="1" t="n"/>
      <c r="T16" s="1" t="n"/>
      <c r="U16" s="1" t="n"/>
      <c r="V16" s="1" t="n"/>
      <c r="W16" s="1" t="n"/>
      <c r="X16" s="1" t="n"/>
      <c r="Y16" s="1" t="n"/>
      <c r="Z16" s="1" t="n"/>
    </row>
    <row r="17" ht="14.25" customHeight="1" s="118">
      <c r="A17" s="86" t="inlineStr">
        <is>
          <t>TL-013</t>
        </is>
      </c>
      <c r="B17" s="45" t="n"/>
      <c r="C17" s="43" t="n"/>
      <c r="D17" s="45" t="n"/>
      <c r="E17" s="43" t="n"/>
      <c r="F17" s="43" t="n"/>
      <c r="G17" s="43" t="n"/>
      <c r="H17" s="89" t="n"/>
      <c r="I17" s="43" t="n"/>
      <c r="J17" s="45" t="n"/>
      <c r="K17" s="28" t="inlineStr">
        <is>
          <t>Submitted</t>
        </is>
      </c>
      <c r="L17" s="43" t="n"/>
      <c r="M17" s="45" t="n"/>
      <c r="N17" s="43" t="n"/>
      <c r="O17" s="1" t="n"/>
      <c r="P17" s="1" t="n"/>
      <c r="Q17" s="1" t="n"/>
      <c r="R17" s="1" t="n"/>
      <c r="S17" s="1" t="n"/>
      <c r="T17" s="1" t="n"/>
      <c r="U17" s="1" t="n"/>
      <c r="V17" s="1" t="n"/>
      <c r="W17" s="1" t="n"/>
      <c r="X17" s="1" t="n"/>
      <c r="Y17" s="1" t="n"/>
      <c r="Z17" s="1" t="n"/>
    </row>
    <row r="18" ht="14.25" customHeight="1" s="118">
      <c r="A18" s="86" t="inlineStr">
        <is>
          <t>TL-014</t>
        </is>
      </c>
      <c r="B18" s="87" t="n"/>
      <c r="C18" s="88" t="n"/>
      <c r="D18" s="87" t="n"/>
      <c r="E18" s="88" t="n"/>
      <c r="F18" s="88" t="n"/>
      <c r="G18" s="88" t="n"/>
      <c r="H18" s="89" t="n"/>
      <c r="I18" s="88" t="n"/>
      <c r="J18" s="87" t="n"/>
      <c r="K18" s="28" t="inlineStr">
        <is>
          <t>Submitted</t>
        </is>
      </c>
      <c r="L18" s="88" t="n"/>
      <c r="M18" s="87" t="n"/>
      <c r="N18" s="88" t="n"/>
      <c r="O18" s="1" t="n"/>
      <c r="P18" s="1" t="n"/>
      <c r="Q18" s="1" t="n"/>
      <c r="R18" s="1" t="n"/>
      <c r="S18" s="1" t="n"/>
      <c r="T18" s="1" t="n"/>
      <c r="U18" s="1" t="n"/>
      <c r="V18" s="1" t="n"/>
      <c r="W18" s="1" t="n"/>
      <c r="X18" s="1" t="n"/>
      <c r="Y18" s="1" t="n"/>
      <c r="Z18" s="1" t="n"/>
    </row>
    <row r="19" ht="14.25" customHeight="1" s="118">
      <c r="A19" s="86" t="inlineStr">
        <is>
          <t>TL-015</t>
        </is>
      </c>
      <c r="B19" s="45" t="n"/>
      <c r="C19" s="43" t="n"/>
      <c r="D19" s="45" t="n"/>
      <c r="E19" s="43" t="n"/>
      <c r="F19" s="43" t="n"/>
      <c r="G19" s="43" t="n"/>
      <c r="H19" s="89" t="n"/>
      <c r="I19" s="43" t="n"/>
      <c r="J19" s="45" t="n"/>
      <c r="K19" s="28" t="inlineStr">
        <is>
          <t>Submitted</t>
        </is>
      </c>
      <c r="L19" s="43" t="n"/>
      <c r="M19" s="45" t="n"/>
      <c r="N19" s="43" t="n"/>
      <c r="O19" s="1" t="n"/>
      <c r="P19" s="1" t="n"/>
      <c r="Q19" s="1" t="n"/>
      <c r="R19" s="1" t="n"/>
      <c r="S19" s="1" t="n"/>
      <c r="T19" s="1" t="n"/>
      <c r="U19" s="1" t="n"/>
      <c r="V19" s="1" t="n"/>
      <c r="W19" s="1" t="n"/>
      <c r="X19" s="1" t="n"/>
      <c r="Y19" s="1" t="n"/>
      <c r="Z19" s="1" t="n"/>
    </row>
    <row r="20" ht="14.25" customHeight="1" s="118">
      <c r="A20" s="86" t="inlineStr">
        <is>
          <t>TL-016</t>
        </is>
      </c>
      <c r="B20" s="87" t="n"/>
      <c r="C20" s="88" t="n"/>
      <c r="D20" s="87" t="n"/>
      <c r="E20" s="88" t="n"/>
      <c r="F20" s="88" t="n"/>
      <c r="G20" s="88" t="n"/>
      <c r="H20" s="89" t="n"/>
      <c r="I20" s="88" t="n"/>
      <c r="J20" s="87" t="n"/>
      <c r="K20" s="28" t="inlineStr">
        <is>
          <t>Submitted</t>
        </is>
      </c>
      <c r="L20" s="88" t="n"/>
      <c r="M20" s="87" t="n"/>
      <c r="N20" s="88" t="n"/>
      <c r="O20" s="1" t="n"/>
      <c r="P20" s="1" t="n"/>
      <c r="Q20" s="1" t="n"/>
      <c r="R20" s="1" t="n"/>
      <c r="S20" s="1" t="n"/>
      <c r="T20" s="1" t="n"/>
      <c r="U20" s="1" t="n"/>
      <c r="V20" s="1" t="n"/>
      <c r="W20" s="1" t="n"/>
      <c r="X20" s="1" t="n"/>
      <c r="Y20" s="1" t="n"/>
      <c r="Z20" s="1" t="n"/>
    </row>
    <row r="21" ht="14.25" customHeight="1" s="118">
      <c r="A21" s="86" t="inlineStr">
        <is>
          <t>TL-017</t>
        </is>
      </c>
      <c r="B21" s="45" t="n"/>
      <c r="C21" s="43" t="n"/>
      <c r="D21" s="45" t="n"/>
      <c r="E21" s="43" t="n"/>
      <c r="F21" s="43" t="n"/>
      <c r="G21" s="43" t="n"/>
      <c r="H21" s="89" t="n"/>
      <c r="I21" s="43" t="n"/>
      <c r="J21" s="45" t="n"/>
      <c r="K21" s="28" t="inlineStr">
        <is>
          <t>Submitted</t>
        </is>
      </c>
      <c r="L21" s="43" t="n"/>
      <c r="M21" s="45" t="n"/>
      <c r="N21" s="43" t="n"/>
      <c r="O21" s="1" t="n"/>
      <c r="P21" s="1" t="n"/>
      <c r="Q21" s="1" t="n"/>
      <c r="R21" s="1" t="n"/>
      <c r="S21" s="1" t="n"/>
      <c r="T21" s="1" t="n"/>
      <c r="U21" s="1" t="n"/>
      <c r="V21" s="1" t="n"/>
      <c r="W21" s="1" t="n"/>
      <c r="X21" s="1" t="n"/>
      <c r="Y21" s="1" t="n"/>
      <c r="Z21" s="1" t="n"/>
    </row>
    <row r="22" ht="14.25" customHeight="1" s="118">
      <c r="A22" s="86" t="inlineStr">
        <is>
          <t>TL-018</t>
        </is>
      </c>
      <c r="B22" s="87" t="n"/>
      <c r="C22" s="88" t="n"/>
      <c r="D22" s="87" t="n"/>
      <c r="E22" s="88" t="n"/>
      <c r="F22" s="88" t="n"/>
      <c r="G22" s="88" t="n"/>
      <c r="H22" s="89" t="n"/>
      <c r="I22" s="88" t="n"/>
      <c r="J22" s="87" t="n"/>
      <c r="K22" s="28" t="inlineStr">
        <is>
          <t>Submitted</t>
        </is>
      </c>
      <c r="L22" s="88" t="n"/>
      <c r="M22" s="87" t="n"/>
      <c r="N22" s="88" t="n"/>
      <c r="O22" s="1" t="n"/>
      <c r="P22" s="1" t="n"/>
      <c r="Q22" s="1" t="n"/>
      <c r="R22" s="1" t="n"/>
      <c r="S22" s="1" t="n"/>
      <c r="T22" s="1" t="n"/>
      <c r="U22" s="1" t="n"/>
      <c r="V22" s="1" t="n"/>
      <c r="W22" s="1" t="n"/>
      <c r="X22" s="1" t="n"/>
      <c r="Y22" s="1" t="n"/>
      <c r="Z22" s="1" t="n"/>
    </row>
    <row r="23" ht="14.25" customHeight="1" s="118">
      <c r="A23" s="86" t="inlineStr">
        <is>
          <t>TL-019</t>
        </is>
      </c>
      <c r="B23" s="45" t="n"/>
      <c r="C23" s="43" t="n"/>
      <c r="D23" s="45" t="n"/>
      <c r="E23" s="43" t="n"/>
      <c r="F23" s="43" t="n"/>
      <c r="G23" s="43" t="n"/>
      <c r="H23" s="89" t="n"/>
      <c r="I23" s="43" t="n"/>
      <c r="J23" s="45" t="n"/>
      <c r="K23" s="28" t="inlineStr">
        <is>
          <t>Submitted</t>
        </is>
      </c>
      <c r="L23" s="43" t="n"/>
      <c r="M23" s="45" t="n"/>
      <c r="N23" s="43" t="n"/>
      <c r="O23" s="1" t="n"/>
      <c r="P23" s="1" t="n"/>
      <c r="Q23" s="1" t="n"/>
      <c r="R23" s="1" t="n"/>
      <c r="S23" s="1" t="n"/>
      <c r="T23" s="1" t="n"/>
      <c r="U23" s="1" t="n"/>
      <c r="V23" s="1" t="n"/>
      <c r="W23" s="1" t="n"/>
      <c r="X23" s="1" t="n"/>
      <c r="Y23" s="1" t="n"/>
      <c r="Z23" s="1" t="n"/>
    </row>
    <row r="24" ht="14.25" customHeight="1" s="118">
      <c r="A24" s="86" t="inlineStr">
        <is>
          <t>TL-020</t>
        </is>
      </c>
      <c r="B24" s="87" t="n"/>
      <c r="C24" s="88" t="n"/>
      <c r="D24" s="87" t="n"/>
      <c r="E24" s="88" t="n"/>
      <c r="F24" s="88" t="n"/>
      <c r="G24" s="88" t="n"/>
      <c r="H24" s="89" t="n"/>
      <c r="I24" s="88" t="n"/>
      <c r="J24" s="87" t="n"/>
      <c r="K24" s="28" t="inlineStr">
        <is>
          <t>Submitted</t>
        </is>
      </c>
      <c r="L24" s="88" t="n"/>
      <c r="M24" s="87" t="n"/>
      <c r="N24" s="88" t="n"/>
      <c r="O24" s="1" t="n"/>
      <c r="P24" s="1" t="n"/>
      <c r="Q24" s="1" t="n"/>
      <c r="R24" s="1" t="n"/>
      <c r="S24" s="1" t="n"/>
      <c r="T24" s="1" t="n"/>
      <c r="U24" s="1" t="n"/>
      <c r="V24" s="1" t="n"/>
      <c r="W24" s="1" t="n"/>
      <c r="X24" s="1" t="n"/>
      <c r="Y24" s="1" t="n"/>
      <c r="Z24" s="1" t="n"/>
    </row>
    <row r="25" ht="14.25" customHeight="1" s="118">
      <c r="A25" s="86" t="inlineStr">
        <is>
          <t>TL-021</t>
        </is>
      </c>
      <c r="B25" s="45" t="n"/>
      <c r="C25" s="43" t="n"/>
      <c r="D25" s="45" t="n"/>
      <c r="E25" s="43" t="n"/>
      <c r="F25" s="43" t="n"/>
      <c r="G25" s="43" t="n"/>
      <c r="H25" s="89" t="n"/>
      <c r="I25" s="43" t="n"/>
      <c r="J25" s="45" t="n"/>
      <c r="K25" s="28" t="inlineStr">
        <is>
          <t>Submitted</t>
        </is>
      </c>
      <c r="L25" s="43" t="n"/>
      <c r="M25" s="45" t="n"/>
      <c r="N25" s="43" t="n"/>
      <c r="O25" s="1" t="n"/>
      <c r="P25" s="1" t="n"/>
      <c r="Q25" s="1" t="n"/>
      <c r="R25" s="1" t="n"/>
      <c r="S25" s="1" t="n"/>
      <c r="T25" s="1" t="n"/>
      <c r="U25" s="1" t="n"/>
      <c r="V25" s="1" t="n"/>
      <c r="W25" s="1" t="n"/>
      <c r="X25" s="1" t="n"/>
      <c r="Y25" s="1" t="n"/>
      <c r="Z25" s="1" t="n"/>
    </row>
    <row r="26" ht="14.25" customHeight="1" s="118">
      <c r="A26" s="86" t="inlineStr">
        <is>
          <t>TL-022</t>
        </is>
      </c>
      <c r="B26" s="87" t="n"/>
      <c r="C26" s="88" t="n"/>
      <c r="D26" s="87" t="n"/>
      <c r="E26" s="88" t="n"/>
      <c r="F26" s="88" t="n"/>
      <c r="G26" s="88" t="n"/>
      <c r="H26" s="89" t="n"/>
      <c r="I26" s="88" t="n"/>
      <c r="J26" s="87" t="n"/>
      <c r="K26" s="28" t="inlineStr">
        <is>
          <t>Submitted</t>
        </is>
      </c>
      <c r="L26" s="88" t="n"/>
      <c r="M26" s="87" t="n"/>
      <c r="N26" s="88" t="n"/>
      <c r="O26" s="1" t="n"/>
      <c r="P26" s="1" t="n"/>
      <c r="Q26" s="1" t="n"/>
      <c r="R26" s="1" t="n"/>
      <c r="S26" s="1" t="n"/>
      <c r="T26" s="1" t="n"/>
      <c r="U26" s="1" t="n"/>
      <c r="V26" s="1" t="n"/>
      <c r="W26" s="1" t="n"/>
      <c r="X26" s="1" t="n"/>
      <c r="Y26" s="1" t="n"/>
      <c r="Z26" s="1" t="n"/>
    </row>
    <row r="27" ht="14.25" customHeight="1" s="118">
      <c r="A27" s="86" t="inlineStr">
        <is>
          <t>TL-023</t>
        </is>
      </c>
      <c r="B27" s="45" t="n"/>
      <c r="C27" s="43" t="n"/>
      <c r="D27" s="45" t="n"/>
      <c r="E27" s="43" t="n"/>
      <c r="F27" s="43" t="n"/>
      <c r="G27" s="43" t="n"/>
      <c r="H27" s="89" t="n"/>
      <c r="I27" s="43" t="n"/>
      <c r="J27" s="45" t="n"/>
      <c r="K27" s="28" t="inlineStr">
        <is>
          <t>Submitted</t>
        </is>
      </c>
      <c r="L27" s="43" t="n"/>
      <c r="M27" s="45" t="n"/>
      <c r="N27" s="43" t="n"/>
      <c r="O27" s="1" t="n"/>
      <c r="P27" s="1" t="n"/>
      <c r="Q27" s="1" t="n"/>
      <c r="R27" s="1" t="n"/>
      <c r="S27" s="1" t="n"/>
      <c r="T27" s="1" t="n"/>
      <c r="U27" s="1" t="n"/>
      <c r="V27" s="1" t="n"/>
      <c r="W27" s="1" t="n"/>
      <c r="X27" s="1" t="n"/>
      <c r="Y27" s="1" t="n"/>
      <c r="Z27" s="1" t="n"/>
    </row>
    <row r="28" ht="14.25" customHeight="1" s="118">
      <c r="A28" s="86" t="inlineStr">
        <is>
          <t>TL-024</t>
        </is>
      </c>
      <c r="B28" s="87" t="n"/>
      <c r="C28" s="88" t="n"/>
      <c r="D28" s="87" t="n"/>
      <c r="E28" s="88" t="n"/>
      <c r="F28" s="88" t="n"/>
      <c r="G28" s="88" t="n"/>
      <c r="H28" s="89" t="n"/>
      <c r="I28" s="88" t="n"/>
      <c r="J28" s="87" t="n"/>
      <c r="K28" s="28" t="inlineStr">
        <is>
          <t>Submitted</t>
        </is>
      </c>
      <c r="L28" s="88" t="n"/>
      <c r="M28" s="87" t="n"/>
      <c r="N28" s="88" t="n"/>
      <c r="O28" s="1" t="n"/>
      <c r="P28" s="1" t="n"/>
      <c r="Q28" s="1" t="n"/>
      <c r="R28" s="1" t="n"/>
      <c r="S28" s="1" t="n"/>
      <c r="T28" s="1" t="n"/>
      <c r="U28" s="1" t="n"/>
      <c r="V28" s="1" t="n"/>
      <c r="W28" s="1" t="n"/>
      <c r="X28" s="1" t="n"/>
      <c r="Y28" s="1" t="n"/>
      <c r="Z28" s="1" t="n"/>
    </row>
    <row r="29" ht="14.25" customHeight="1" s="118">
      <c r="A29" s="86" t="inlineStr">
        <is>
          <t>TL-025</t>
        </is>
      </c>
      <c r="B29" s="45" t="n"/>
      <c r="C29" s="43" t="n"/>
      <c r="D29" s="45" t="n"/>
      <c r="E29" s="43" t="n"/>
      <c r="F29" s="43" t="n"/>
      <c r="G29" s="43" t="n"/>
      <c r="H29" s="89" t="n"/>
      <c r="I29" s="43" t="n"/>
      <c r="J29" s="45" t="n"/>
      <c r="K29" s="28" t="inlineStr">
        <is>
          <t>Submitted</t>
        </is>
      </c>
      <c r="L29" s="43" t="n"/>
      <c r="M29" s="45" t="n"/>
      <c r="N29" s="43" t="n"/>
      <c r="O29" s="1" t="n"/>
      <c r="P29" s="1" t="n"/>
      <c r="Q29" s="1" t="n"/>
      <c r="R29" s="1" t="n"/>
      <c r="S29" s="1" t="n"/>
      <c r="T29" s="1" t="n"/>
      <c r="U29" s="1" t="n"/>
      <c r="V29" s="1" t="n"/>
      <c r="W29" s="1" t="n"/>
      <c r="X29" s="1" t="n"/>
      <c r="Y29" s="1" t="n"/>
      <c r="Z29" s="1" t="n"/>
    </row>
    <row r="30" ht="14.25" customHeight="1" s="118">
      <c r="A30" s="86" t="inlineStr">
        <is>
          <t>TL-026</t>
        </is>
      </c>
      <c r="B30" s="87" t="n"/>
      <c r="C30" s="88" t="n"/>
      <c r="D30" s="87" t="n"/>
      <c r="E30" s="88" t="n"/>
      <c r="F30" s="88" t="n"/>
      <c r="G30" s="88" t="n"/>
      <c r="H30" s="89" t="n"/>
      <c r="I30" s="88" t="n"/>
      <c r="J30" s="87" t="n"/>
      <c r="K30" s="28" t="inlineStr">
        <is>
          <t>Submitted</t>
        </is>
      </c>
      <c r="L30" s="88" t="n"/>
      <c r="M30" s="87" t="n"/>
      <c r="N30" s="88" t="n"/>
      <c r="O30" s="1" t="n"/>
      <c r="P30" s="1" t="n"/>
      <c r="Q30" s="1" t="n"/>
      <c r="R30" s="1" t="n"/>
      <c r="S30" s="1" t="n"/>
      <c r="T30" s="1" t="n"/>
      <c r="U30" s="1" t="n"/>
      <c r="V30" s="1" t="n"/>
      <c r="W30" s="1" t="n"/>
      <c r="X30" s="1" t="n"/>
      <c r="Y30" s="1" t="n"/>
      <c r="Z30" s="1" t="n"/>
    </row>
    <row r="31" ht="14.25" customHeight="1" s="118">
      <c r="A31" s="86" t="inlineStr">
        <is>
          <t>TL-027</t>
        </is>
      </c>
      <c r="B31" s="45" t="n"/>
      <c r="C31" s="43" t="n"/>
      <c r="D31" s="45" t="n"/>
      <c r="E31" s="43" t="n"/>
      <c r="F31" s="43" t="n"/>
      <c r="G31" s="43" t="n"/>
      <c r="H31" s="89" t="n"/>
      <c r="I31" s="43" t="n"/>
      <c r="J31" s="45" t="n"/>
      <c r="K31" s="28" t="inlineStr">
        <is>
          <t>Submitted</t>
        </is>
      </c>
      <c r="L31" s="43" t="n"/>
      <c r="M31" s="45" t="n"/>
      <c r="N31" s="43" t="n"/>
      <c r="O31" s="1" t="n"/>
      <c r="P31" s="1" t="n"/>
      <c r="Q31" s="1" t="n"/>
      <c r="R31" s="1" t="n"/>
      <c r="S31" s="1" t="n"/>
      <c r="T31" s="1" t="n"/>
      <c r="U31" s="1" t="n"/>
      <c r="V31" s="1" t="n"/>
      <c r="W31" s="1" t="n"/>
      <c r="X31" s="1" t="n"/>
      <c r="Y31" s="1" t="n"/>
      <c r="Z31" s="1" t="n"/>
    </row>
    <row r="32" ht="14.25" customHeight="1" s="118">
      <c r="A32" s="86" t="inlineStr">
        <is>
          <t>TL-028</t>
        </is>
      </c>
      <c r="B32" s="87" t="n"/>
      <c r="C32" s="88" t="n"/>
      <c r="D32" s="87" t="n"/>
      <c r="E32" s="88" t="n"/>
      <c r="F32" s="88" t="n"/>
      <c r="G32" s="88" t="n"/>
      <c r="H32" s="89" t="n"/>
      <c r="I32" s="88" t="n"/>
      <c r="J32" s="87" t="n"/>
      <c r="K32" s="28" t="inlineStr">
        <is>
          <t>Submitted</t>
        </is>
      </c>
      <c r="L32" s="88" t="n"/>
      <c r="M32" s="87" t="n"/>
      <c r="N32" s="88" t="n"/>
      <c r="O32" s="1" t="n"/>
      <c r="P32" s="1" t="n"/>
      <c r="Q32" s="1" t="n"/>
      <c r="R32" s="1" t="n"/>
      <c r="S32" s="1" t="n"/>
      <c r="T32" s="1" t="n"/>
      <c r="U32" s="1" t="n"/>
      <c r="V32" s="1" t="n"/>
      <c r="W32" s="1" t="n"/>
      <c r="X32" s="1" t="n"/>
      <c r="Y32" s="1" t="n"/>
      <c r="Z32" s="1" t="n"/>
    </row>
    <row r="33" ht="14.25" customHeight="1" s="118">
      <c r="A33" s="86" t="inlineStr">
        <is>
          <t>TL-029</t>
        </is>
      </c>
      <c r="B33" s="45" t="n"/>
      <c r="C33" s="43" t="n"/>
      <c r="D33" s="45" t="n"/>
      <c r="E33" s="43" t="n"/>
      <c r="F33" s="43" t="n"/>
      <c r="G33" s="43" t="n"/>
      <c r="H33" s="89" t="n"/>
      <c r="I33" s="43" t="n"/>
      <c r="J33" s="45" t="n"/>
      <c r="K33" s="28" t="inlineStr">
        <is>
          <t>Submitted</t>
        </is>
      </c>
      <c r="L33" s="43" t="n"/>
      <c r="M33" s="45" t="n"/>
      <c r="N33" s="43" t="n"/>
      <c r="O33" s="1" t="n"/>
      <c r="P33" s="1" t="n"/>
      <c r="Q33" s="1" t="n"/>
      <c r="R33" s="1" t="n"/>
      <c r="S33" s="1" t="n"/>
      <c r="T33" s="1" t="n"/>
      <c r="U33" s="1" t="n"/>
      <c r="V33" s="1" t="n"/>
      <c r="W33" s="1" t="n"/>
      <c r="X33" s="1" t="n"/>
      <c r="Y33" s="1" t="n"/>
      <c r="Z33" s="1" t="n"/>
    </row>
    <row r="34" ht="14.25" customHeight="1" s="118">
      <c r="A34" s="86" t="inlineStr">
        <is>
          <t>TL-030</t>
        </is>
      </c>
      <c r="B34" s="87" t="n"/>
      <c r="C34" s="88" t="n"/>
      <c r="D34" s="87" t="n"/>
      <c r="E34" s="88" t="n"/>
      <c r="F34" s="88" t="n"/>
      <c r="G34" s="88" t="n"/>
      <c r="H34" s="89" t="n"/>
      <c r="I34" s="88" t="n"/>
      <c r="J34" s="87" t="n"/>
      <c r="K34" s="28" t="inlineStr">
        <is>
          <t>Submitted</t>
        </is>
      </c>
      <c r="L34" s="88" t="n"/>
      <c r="M34" s="87" t="n"/>
      <c r="N34" s="88" t="n"/>
      <c r="O34" s="1" t="n"/>
      <c r="P34" s="1" t="n"/>
      <c r="Q34" s="1" t="n"/>
      <c r="R34" s="1" t="n"/>
      <c r="S34" s="1" t="n"/>
      <c r="T34" s="1" t="n"/>
      <c r="U34" s="1" t="n"/>
      <c r="V34" s="1" t="n"/>
      <c r="W34" s="1" t="n"/>
      <c r="X34" s="1" t="n"/>
      <c r="Y34" s="1" t="n"/>
      <c r="Z34" s="1" t="n"/>
    </row>
    <row r="35" ht="14.25" customHeight="1" s="118">
      <c r="A35" s="86" t="inlineStr">
        <is>
          <t>TL-031</t>
        </is>
      </c>
      <c r="B35" s="45" t="n"/>
      <c r="C35" s="43" t="n"/>
      <c r="D35" s="45" t="n"/>
      <c r="E35" s="43" t="n"/>
      <c r="F35" s="43" t="n"/>
      <c r="G35" s="43" t="n"/>
      <c r="H35" s="89" t="n"/>
      <c r="I35" s="43" t="n"/>
      <c r="J35" s="45" t="n"/>
      <c r="K35" s="28" t="inlineStr">
        <is>
          <t>Submitted</t>
        </is>
      </c>
      <c r="L35" s="43" t="n"/>
      <c r="M35" s="45" t="n"/>
      <c r="N35" s="43" t="n"/>
      <c r="O35" s="1" t="n"/>
      <c r="P35" s="1" t="n"/>
      <c r="Q35" s="1" t="n"/>
      <c r="R35" s="1" t="n"/>
      <c r="S35" s="1" t="n"/>
      <c r="T35" s="1" t="n"/>
      <c r="U35" s="1" t="n"/>
      <c r="V35" s="1" t="n"/>
      <c r="W35" s="1" t="n"/>
      <c r="X35" s="1" t="n"/>
      <c r="Y35" s="1" t="n"/>
      <c r="Z35" s="1" t="n"/>
    </row>
    <row r="36" ht="14.25" customHeight="1" s="1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1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1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118">
      <c r="A39" s="77" t="inlineStr">
        <is>
          <t>Hours Summary</t>
        </is>
      </c>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118">
      <c r="A40" s="85" t="inlineStr">
        <is>
          <t>Activity</t>
        </is>
      </c>
      <c r="B40" s="85" t="inlineStr">
        <is>
          <t>Total Hours</t>
        </is>
      </c>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118">
      <c r="A41" s="90" t="inlineStr">
        <is>
          <t>Training</t>
        </is>
      </c>
      <c r="B41" s="45">
        <f>SUMIF(F5:F500,"Training",H5:H500)</f>
        <v/>
      </c>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118">
      <c r="A42" s="90" t="inlineStr">
        <is>
          <t>Analyzing</t>
        </is>
      </c>
      <c r="B42" s="45">
        <f>SUMIF(F5:F500,"Analyzing",H5:H500)</f>
        <v/>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118">
      <c r="A43" s="90" t="inlineStr">
        <is>
          <t>Designing</t>
        </is>
      </c>
      <c r="B43" s="45">
        <f>SUMIF(F5:F500,"Designing",H5:H500)</f>
        <v/>
      </c>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118">
      <c r="A44" s="90" t="inlineStr">
        <is>
          <t>Coding</t>
        </is>
      </c>
      <c r="B44" s="45">
        <f>SUMIF(F5:F500,"Coding",H5:H500)</f>
        <v/>
      </c>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118">
      <c r="A45" s="90" t="inlineStr">
        <is>
          <t>Testing</t>
        </is>
      </c>
      <c r="B45" s="45">
        <f>SUMIF(F5:F500,"Testing",H5:H500)</f>
        <v/>
      </c>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118">
      <c r="A46" s="90" t="inlineStr">
        <is>
          <t>Reviewing</t>
        </is>
      </c>
      <c r="B46" s="45">
        <f>SUMIF(F5:F500,"Reviewing",H5:H500)</f>
        <v/>
      </c>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118">
      <c r="A47" s="90" t="inlineStr">
        <is>
          <t>Deploying</t>
        </is>
      </c>
      <c r="B47" s="45">
        <f>SUMIF(F5:F500,"Deploying",H5:H500)</f>
        <v/>
      </c>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118">
      <c r="A48" s="90" t="inlineStr">
        <is>
          <t>Meeting</t>
        </is>
      </c>
      <c r="B48" s="45">
        <f>SUMIF(F5:F500,"Meeting",H5:H500)</f>
        <v/>
      </c>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118">
      <c r="A49" s="91" t="inlineStr">
        <is>
          <t>Grand Total</t>
        </is>
      </c>
      <c r="B49" s="9">
        <f>SUM(H5:H500)</f>
        <v/>
      </c>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1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1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1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1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1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1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1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1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1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1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1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1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1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1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1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1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1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1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1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1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1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1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1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1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1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1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1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1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1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1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1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1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1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1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1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1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1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1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1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1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1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1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1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1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1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1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1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1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1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1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1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1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1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1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1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1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1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1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1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1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1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1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1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1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1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1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1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1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1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1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1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1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1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1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1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1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1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1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1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1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1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1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1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1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1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1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1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1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1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1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1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1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1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1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1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1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1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1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1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1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1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1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1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1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1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1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1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1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1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1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1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1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1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1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1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1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1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1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1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1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1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1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1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1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1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1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1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1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1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1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1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1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1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1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1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1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1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1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1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1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1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1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1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1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1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1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1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1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1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1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11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11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11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11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11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11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11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11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11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11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11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11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11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11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11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11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11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1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11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11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1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s="1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s="1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s="1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s="1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s="1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s="1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s="1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s="1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s="1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s="1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s="1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s="1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s="1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4.25" customHeight="1" s="1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4.25" customHeight="1" s="1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4.25" customHeight="1" s="1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4.25" customHeight="1" s="1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4.25" customHeight="1" s="1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4.25" customHeight="1" s="1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4.25" customHeight="1" s="1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4.25" customHeight="1" s="1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4.25" customHeight="1" s="1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4.25" customHeight="1" s="1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4.25" customHeight="1" s="1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4.25" customHeight="1" s="1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4.25" customHeight="1" s="1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4.25" customHeight="1" s="1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4.25" customHeight="1" s="1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A2:N2"/>
    <mergeCell ref="A1:N1"/>
  </mergeCells>
  <conditionalFormatting sqref="K5:K1000">
    <cfRule type="cellIs" priority="1" operator="equal" dxfId="0">
      <formula>"Done"</formula>
    </cfRule>
    <cfRule type="cellIs" priority="2" operator="equal" dxfId="0">
      <formula>"Completed"</formula>
    </cfRule>
    <cfRule type="cellIs" priority="3" operator="equal" dxfId="0">
      <formula>"Closed"</formula>
    </cfRule>
    <cfRule type="cellIs" priority="4" operator="equal" dxfId="0">
      <formula>"Fixed"</formula>
    </cfRule>
    <cfRule type="cellIs" priority="5" operator="equal" dxfId="0">
      <formula>"Approved"</formula>
    </cfRule>
    <cfRule type="cellIs" priority="6" operator="equal" dxfId="1">
      <formula>"In Progress"</formula>
    </cfRule>
    <cfRule type="cellIs" priority="7" operator="equal" dxfId="2">
      <formula>"Open"</formula>
    </cfRule>
    <cfRule type="cellIs" priority="8" operator="equal" dxfId="1">
      <formula>"Pending"</formula>
    </cfRule>
    <cfRule type="cellIs" priority="9" operator="equal" dxfId="2">
      <formula>"Blocked"</formula>
    </cfRule>
    <cfRule type="cellIs" priority="10" operator="equal" dxfId="3">
      <formula>"Cancelled"</formula>
    </cfRule>
    <cfRule type="cellIs" priority="11" operator="equal" dxfId="2">
      <formula>"Rejected"</formula>
    </cfRule>
    <cfRule type="cellIs" priority="12" operator="equal" dxfId="4">
      <formula>"Submitted"</formula>
    </cfRule>
  </conditionalFormatting>
  <dataValidations count="5">
    <dataValidation sqref="K5:K500" showDropDown="0" showInputMessage="0" showErrorMessage="0" allowBlank="1" type="list">
      <formula1>"Submitted,Approved,Rejected"</formula1>
    </dataValidation>
    <dataValidation sqref="J5:J500" showDropDown="0" showInputMessage="0" showErrorMessage="0" allowBlank="1" type="list">
      <formula1>"Iteration 1,Iteration 2,Iteration 3,General"</formula1>
    </dataValidation>
    <dataValidation sqref="G5:G500" showDropDown="0" showInputMessage="0" showErrorMessage="0" allowBlank="1" type="list">
      <formula1>"Newly-Created,Updating,Reviewing,Bug-Fix,Research"</formula1>
    </dataValidation>
    <dataValidation sqref="F5:F500" showDropDown="0" showInputMessage="0" showErrorMessage="0" allowBlank="1" type="list">
      <formula1>"Training,Analyzing,Designing,Coding,Testing,Reviewing,Deploying,Meeting"</formula1>
    </dataValidation>
    <dataValidation sqref="C5:C35" showDropDown="0" showInputMessage="0" showErrorMessage="1" allowBlank="1" type="list">
      <formula1>"DucNH,HungPV,AnhNTK,HieuND,HungTQV"</formula1>
    </dataValidation>
  </dataValidations>
  <pageMargins left="0.75" right="0.75" top="1" bottom="1" header="0" footer="0"/>
  <pageSetup orientation="landscape"/>
</worksheet>
</file>

<file path=xl/worksheets/sheet6.xml><?xml version="1.0" encoding="utf-8"?>
<worksheet xmlns="http://schemas.openxmlformats.org/spreadsheetml/2006/main">
  <sheetPr>
    <tabColor rgb="FFC00000"/>
    <outlinePr summaryBelow="0" summaryRight="0"/>
    <pageSetUpPr/>
  </sheetPr>
  <dimension ref="A1:Z1000"/>
  <sheetViews>
    <sheetView showGridLines="0" workbookViewId="0">
      <pane ySplit="2" topLeftCell="A3" activePane="bottomLeft" state="frozen"/>
      <selection pane="bottomLeft" activeCell="B4" sqref="B4"/>
    </sheetView>
  </sheetViews>
  <sheetFormatPr baseColWidth="8" defaultColWidth="14.43" defaultRowHeight="15" customHeight="1"/>
  <cols>
    <col width="16.14" customWidth="1" style="118" min="1" max="1"/>
    <col width="13.71" customWidth="1" style="118" min="2" max="2"/>
    <col collapsed="1" width="48.57" customWidth="1" style="118" min="3" max="3"/>
    <col hidden="1" outlineLevel="1" width="32" customWidth="1" style="118" min="4" max="4"/>
    <col hidden="1" outlineLevel="1" width="25.14" customWidth="1" style="118" min="5" max="6"/>
    <col width="13.71" customWidth="1" style="118" min="7" max="7"/>
    <col width="11.43" customWidth="1" style="118" min="8" max="8"/>
    <col width="16" customWidth="1" style="118" min="9" max="9"/>
    <col hidden="1" outlineLevel="1" width="18.29" customWidth="1" style="118" min="10" max="10"/>
    <col hidden="1" outlineLevel="1" width="20.57" customWidth="1" style="118" min="11" max="11"/>
    <col width="16" customWidth="1" style="118" min="12" max="13"/>
    <col width="13.71" customWidth="1" style="118" min="14" max="14"/>
    <col hidden="1" outlineLevel="1" width="13.71" customWidth="1" style="118" min="15" max="15"/>
    <col hidden="1" outlineLevel="1" width="18.29" customWidth="1" style="118" min="16" max="16"/>
    <col width="13.71" customWidth="1" style="118" min="17" max="17"/>
    <col width="29.71" customWidth="1" style="118" min="18" max="18"/>
    <col width="10" customWidth="1" style="118" min="19" max="26"/>
  </cols>
  <sheetData>
    <row r="1" ht="14.25" customHeight="1" s="118">
      <c r="A1" s="3" t="inlineStr">
        <is>
          <t>Defects — Bug &amp; Defect Tracking Log</t>
        </is>
      </c>
      <c r="S1" s="1" t="n"/>
      <c r="T1" s="1" t="n"/>
      <c r="U1" s="1" t="n"/>
      <c r="V1" s="1" t="n"/>
      <c r="W1" s="1" t="n"/>
      <c r="X1" s="1" t="n"/>
      <c r="Y1" s="1" t="n"/>
      <c r="Z1" s="1" t="n"/>
    </row>
    <row r="2" ht="14.25" customHeight="1" s="118">
      <c r="A2" s="6" t="inlineStr">
        <is>
          <t>Log ALL defects found in any review or test  ·  Severity: Critical / High / Medium / Low  ·  Status: Pending → Open → Fixed → Closed</t>
        </is>
      </c>
      <c r="S2" s="1" t="n"/>
      <c r="T2" s="1" t="n"/>
      <c r="U2" s="1" t="n"/>
      <c r="V2" s="1" t="n"/>
      <c r="W2" s="1" t="n"/>
      <c r="X2" s="1" t="n"/>
      <c r="Y2" s="1" t="n"/>
      <c r="Z2" s="1" t="n"/>
    </row>
    <row r="3" ht="14.25" customHeight="1" s="118">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25" customHeight="1" s="118">
      <c r="A4" s="92" t="inlineStr">
        <is>
          <t>#</t>
        </is>
      </c>
      <c r="B4" s="92" t="inlineStr">
        <is>
          <t>Date Found</t>
        </is>
      </c>
      <c r="C4" s="92" t="inlineStr">
        <is>
          <t>Defect Description</t>
        </is>
      </c>
      <c r="D4" s="92" t="inlineStr">
        <is>
          <t>Steps to Reproduce</t>
        </is>
      </c>
      <c r="E4" s="92" t="inlineStr">
        <is>
          <t>Expected Result</t>
        </is>
      </c>
      <c r="F4" s="92" t="inlineStr">
        <is>
          <t>Actual Result</t>
        </is>
      </c>
      <c r="G4" s="92" t="inlineStr">
        <is>
          <t>Severity</t>
        </is>
      </c>
      <c r="H4" s="92" t="inlineStr">
        <is>
          <t>Priority</t>
        </is>
      </c>
      <c r="I4" s="92" t="inlineStr">
        <is>
          <t>Activity</t>
        </is>
      </c>
      <c r="J4" s="92" t="inlineStr">
        <is>
          <t>Product</t>
        </is>
      </c>
      <c r="K4" s="92" t="inlineStr">
        <is>
          <t>Product Details</t>
        </is>
      </c>
      <c r="L4" s="92" t="inlineStr">
        <is>
          <t>Assigned By</t>
        </is>
      </c>
      <c r="M4" s="92" t="inlineStr">
        <is>
          <t>Assigned To</t>
        </is>
      </c>
      <c r="N4" s="92" t="inlineStr">
        <is>
          <t>Status</t>
        </is>
      </c>
      <c r="O4" s="92" t="inlineStr">
        <is>
          <t>Fixed Date</t>
        </is>
      </c>
      <c r="P4" s="92" t="inlineStr">
        <is>
          <t>Fixed In Version</t>
        </is>
      </c>
      <c r="Q4" s="92" t="inlineStr">
        <is>
          <t>Updated</t>
        </is>
      </c>
      <c r="R4" s="92" t="inlineStr">
        <is>
          <t>Notes</t>
        </is>
      </c>
      <c r="S4" s="1" t="n"/>
      <c r="T4" s="1" t="n"/>
      <c r="U4" s="1" t="n"/>
      <c r="V4" s="1" t="n"/>
      <c r="W4" s="1" t="n"/>
      <c r="X4" s="1" t="n"/>
      <c r="Y4" s="1" t="n"/>
      <c r="Z4" s="1" t="n"/>
    </row>
    <row r="5" ht="129.75" customHeight="1" s="118">
      <c r="A5" s="93" t="inlineStr">
        <is>
          <t>D-001</t>
        </is>
      </c>
      <c r="B5" s="94" t="inlineStr">
        <is>
          <t>2026-07-20</t>
        </is>
      </c>
      <c r="C5" s="95" t="inlineStr">
        <is>
          <t>Deleting an operational location does not check for cargo still referencing it</t>
        </is>
      </c>
      <c r="D5" s="95" t="inlineStr">
        <is>
          <t>1. Create cargo whose destination is zone Z. 2. Before delivery, delete zone Z.</t>
        </is>
      </c>
      <c r="E5" s="95" t="inlineStr">
        <is>
          <t>Deletion is refused while active cargo references the zone</t>
        </is>
      </c>
      <c r="F5" s="95" t="inlineStr">
        <is>
          <t>Zone is soft-deleted and its locations are stripped from the openTCS plant model; the in-flight task breaks</t>
        </is>
      </c>
      <c r="G5" s="94" t="inlineStr">
        <is>
          <t>High</t>
        </is>
      </c>
      <c r="H5" s="94" t="inlineStr">
        <is>
          <t>High</t>
        </is>
      </c>
      <c r="I5" s="94" t="inlineStr">
        <is>
          <t>Review</t>
        </is>
      </c>
      <c r="J5" s="96" t="inlineStr">
        <is>
          <t>Software Package</t>
        </is>
      </c>
      <c r="K5" s="97" t="n"/>
      <c r="L5" s="96" t="inlineStr">
        <is>
          <t>KienNT</t>
        </is>
      </c>
      <c r="M5" s="96" t="inlineStr">
        <is>
          <t>HungPV</t>
        </is>
      </c>
      <c r="N5" s="94" t="inlineStr">
        <is>
          <t>Open</t>
        </is>
      </c>
      <c r="O5" s="97" t="n"/>
      <c r="P5" s="97" t="n"/>
      <c r="Q5" s="94" t="inlineStr">
        <is>
          <t>2024-10-26</t>
        </is>
      </c>
      <c r="R5" s="96" t="inlineStr">
        <is>
          <t>ZoneService.remove() has no guard. Fix together with BR-12.</t>
        </is>
      </c>
      <c r="S5" s="1" t="n"/>
      <c r="T5" s="1" t="n"/>
      <c r="U5" s="1" t="n"/>
      <c r="V5" s="1" t="n"/>
      <c r="W5" s="1" t="n"/>
      <c r="X5" s="1" t="n"/>
      <c r="Y5" s="1" t="n"/>
      <c r="Z5" s="1" t="n"/>
    </row>
    <row r="6" ht="133.5" customHeight="1" s="118">
      <c r="A6" s="93" t="inlineStr">
        <is>
          <t>D-002</t>
        </is>
      </c>
      <c r="B6" s="52" t="inlineStr">
        <is>
          <t>2026-07-20</t>
        </is>
      </c>
      <c r="C6" s="51" t="inlineStr">
        <is>
          <t>Deactivating an AGV removes it from the kernel entirely instead of leaving it in place as a static obstacle. AgvsService.disconnect() sets the vehicle's integration level to TO_BE_IGNORED and then disables the communication adapter.</t>
        </is>
      </c>
      <c r="D6" s="51" t="inlineStr">
        <is>
          <t>1. Park an AGV on a point that lies on a route other vehicles use. 2. Deactivate that AGV from the AGV list screen. 3. Create a transport request whose shortest route passes through that point.</t>
        </is>
      </c>
      <c r="E6" s="51" t="inlineStr">
        <is>
          <t>The AGV is no longer dispatched, but the kernel still treats the point it occupies as blocked, so other vehicles route around it.</t>
        </is>
      </c>
      <c r="F6" s="51" t="inlineStr">
        <is>
          <t>The kernel ignores the vehicle completely; other vehicles are routed straight through the occupied point.</t>
        </is>
      </c>
      <c r="G6" s="94" t="inlineStr">
        <is>
          <t>High</t>
        </is>
      </c>
      <c r="H6" s="94" t="inlineStr">
        <is>
          <t>High</t>
        </is>
      </c>
      <c r="I6" s="52" t="inlineStr">
        <is>
          <t>Review</t>
        </is>
      </c>
      <c r="J6" s="51" t="inlineStr">
        <is>
          <t>Software Package</t>
        </is>
      </c>
      <c r="K6" s="51" t="inlineStr">
        <is>
          <t>wes/src/agvs/agvs.service.ts:206</t>
        </is>
      </c>
      <c r="L6" s="51" t="inlineStr">
        <is>
          <t>HungPV</t>
        </is>
      </c>
      <c r="M6" s="34" t="n"/>
      <c r="N6" s="49" t="inlineStr">
        <is>
          <t>Fixed</t>
        </is>
      </c>
      <c r="O6" s="34" t="inlineStr">
        <is>
          <t>2026-07-25</t>
        </is>
      </c>
      <c r="P6" s="34" t="n"/>
      <c r="Q6" s="34" t="n"/>
      <c r="R6" s="51" t="inlineStr">
        <is>
          <t>Fixed 2026-07-25 (commit e6e79ca). ignore() now sets TO_BE_RESPECTED (agvs.service.ts:187), so an ignored AGV is withheld from dispatch while its position is still respected by fleet routing, which is what BR-06 requires. disconnect() keeps TO_BE_IGNORED - that path removes the vehicle from the fleet altogether and is a different operation.</t>
        </is>
      </c>
      <c r="S6" s="1" t="n"/>
      <c r="T6" s="1" t="n"/>
      <c r="U6" s="1" t="n"/>
      <c r="V6" s="1" t="n"/>
      <c r="W6" s="1" t="n"/>
      <c r="X6" s="1" t="n"/>
      <c r="Y6" s="1" t="n"/>
      <c r="Z6" s="1" t="n"/>
    </row>
    <row r="7" ht="85.5" customHeight="1" s="118">
      <c r="A7" s="93" t="inlineStr">
        <is>
          <t>D-003</t>
        </is>
      </c>
      <c r="B7" s="94" t="inlineStr">
        <is>
          <t>2026-07-20</t>
        </is>
      </c>
      <c r="C7" s="96" t="inlineStr">
        <is>
          <t>The zones and cargo controllers are guarded by authentication only, not by role, so any authenticated user including an Operator can call every mutation on those modules - including delete.</t>
        </is>
      </c>
      <c r="D7" s="96" t="inlineStr">
        <is>
          <t>1. Log in as a user holding the operator role. 2. Send DELETE /zones/{id} using that user's token.</t>
        </is>
      </c>
      <c r="E7" s="96" t="inlineStr">
        <is>
          <t>The request is rejected with 403 Forbidden, as it is on the AGV and dispatch-policy controllers.</t>
        </is>
      </c>
      <c r="F7" s="96" t="inlineStr">
        <is>
          <t>The request succeeds and the record is deleted.</t>
        </is>
      </c>
      <c r="G7" s="94" t="inlineStr">
        <is>
          <t>Critical</t>
        </is>
      </c>
      <c r="H7" s="94" t="inlineStr">
        <is>
          <t>High</t>
        </is>
      </c>
      <c r="I7" s="94" t="inlineStr">
        <is>
          <t>Review</t>
        </is>
      </c>
      <c r="J7" s="96" t="inlineStr">
        <is>
          <t>Software Package</t>
        </is>
      </c>
      <c r="K7" s="96" t="inlineStr">
        <is>
          <t>wes/src/zones/zone.controller.ts:16; wes/src/cargo/cargo.controller.ts:19</t>
        </is>
      </c>
      <c r="L7" s="96" t="inlineStr">
        <is>
          <t>HungPV</t>
        </is>
      </c>
      <c r="M7" s="97" t="n"/>
      <c r="N7" s="94" t="inlineStr">
        <is>
          <t>Open</t>
        </is>
      </c>
      <c r="O7" s="97" t="n"/>
      <c r="P7" s="97" t="n"/>
      <c r="Q7" s="97" t="n"/>
      <c r="R7" s="96" t="inlineStr">
        <is>
          <t>Both declare @UseGuards(JwtAuthGuard) only. For comparison agvs.controller.ts:21 and dispatch-policy.controller.ts:22 declare @UseGuards(JwtAuthGuard, RolesGuard) with @Roles('admin'). These are the only two controllers with no role check.</t>
        </is>
      </c>
      <c r="S7" s="1" t="n"/>
      <c r="T7" s="1" t="n"/>
      <c r="U7" s="1" t="n"/>
      <c r="V7" s="1" t="n"/>
      <c r="W7" s="1" t="n"/>
      <c r="X7" s="1" t="n"/>
      <c r="Y7" s="1" t="n"/>
      <c r="Z7" s="1" t="n"/>
    </row>
    <row r="8" ht="14.25" customHeight="1" s="118">
      <c r="A8" s="93" t="inlineStr">
        <is>
          <t>D-004</t>
        </is>
      </c>
      <c r="B8" s="52" t="inlineStr">
        <is>
          <t>2026-07-20</t>
        </is>
      </c>
      <c r="C8" s="51" t="inlineStr">
        <is>
          <t>The isIgnored flag on an AGV can never be changed. It is declared on the entity and read in three places, but no DTO, endpoint or service method ever writes it, so it stays false for the lifetime of the record.</t>
        </is>
      </c>
      <c r="D8" s="51" t="inlineStr">
        <is>
          <t>1. Open an AGV detail screen. 2. Attempt to exclude the AGV from orchestration (WBS #10). 3. Read the is_ignored column for that AGV.</t>
        </is>
      </c>
      <c r="E8" s="51" t="inlineStr">
        <is>
          <t>The flag is set to true and the assignment engine stops offering work to that AGV.</t>
        </is>
      </c>
      <c r="F8" s="51" t="inlineStr">
        <is>
          <t>No request path writes the flag; it stays false and the AGV keeps receiving work.</t>
        </is>
      </c>
      <c r="G8" s="94" t="inlineStr">
        <is>
          <t>High</t>
        </is>
      </c>
      <c r="H8" s="94" t="inlineStr">
        <is>
          <t>High</t>
        </is>
      </c>
      <c r="I8" s="52" t="inlineStr">
        <is>
          <t>Review</t>
        </is>
      </c>
      <c r="J8" s="51" t="inlineStr">
        <is>
          <t>Software Package</t>
        </is>
      </c>
      <c r="K8" s="51" t="inlineStr">
        <is>
          <t>wes/src/agvs/entities/agv.entity.ts:33</t>
        </is>
      </c>
      <c r="L8" s="51" t="inlineStr">
        <is>
          <t>HungPV</t>
        </is>
      </c>
      <c r="M8" s="34" t="n"/>
      <c r="N8" s="49" t="inlineStr">
        <is>
          <t>Closed</t>
        </is>
      </c>
      <c r="O8" s="34" t="inlineStr">
        <is>
          <t>2026-07-28</t>
        </is>
      </c>
      <c r="P8" s="34" t="n"/>
      <c r="Q8" s="34" t="inlineStr">
        <is>
          <t>2026-07-28</t>
        </is>
      </c>
      <c r="R8" s="51" t="inlineStr">
        <is>
          <t>Closed 2026-07-28. The write path now exists: POST /agvs/{id}/ignore and /restore (agvs.controller.ts:71-81) write is_ignored and push the kernel integration level (TO_BE_RESPECTED / TO_BE_UTILIZED) in agvs.service.ts:181-207; /enable and /disable do the same for is_dispatch_enabled. Eligibility is enforced in dispatch.policy.ts:19-20, parking.policy.ts:51-52 and charge.policy.ts:25-26, each covered by unit tests, and all four actions are exposed on the operation-map vehicle panel (wes-client/src/features/map/VehicleControlPanel.tsx:308-351, mounted from MapCanvas.tsx:352). Verified by code inspection on 2026-07-28; no live UI retest was run. WBS #8-#11 moved to Done accordingly. Original finding: the flag was declared and read in three places but never written by any DTO, endpoint or service method.</t>
        </is>
      </c>
      <c r="S8" s="1" t="n"/>
      <c r="T8" s="1" t="n"/>
      <c r="U8" s="1" t="n"/>
      <c r="V8" s="1" t="n"/>
      <c r="W8" s="1" t="n"/>
      <c r="X8" s="1" t="n"/>
      <c r="Y8" s="1" t="n"/>
      <c r="Z8" s="1" t="n"/>
    </row>
    <row r="9" ht="14.25" customHeight="1" s="118">
      <c r="A9" s="93" t="inlineStr">
        <is>
          <t>D-005</t>
        </is>
      </c>
      <c r="B9" s="94" t="inlineStr">
        <is>
          <t>2026-07-20</t>
        </is>
      </c>
      <c r="C9" s="96" t="inlineStr">
        <is>
          <t>The k-robustness safety buffer is honoured on only one of the two planning paths. The windowed PIBT fallback enforces it; the LaCAM search does not, and a plan violating the requested buffer is still returned and executed.</t>
        </is>
      </c>
      <c r="D9" s="96" t="inlineStr">
        <is>
          <t>1. Set kRobust to 1. 2. Run a scenario in which the LaCAM search, not the windowed fallback, produces the plan. 3. Read the kernel log.</t>
        </is>
      </c>
      <c r="E9" s="96" t="inlineStr">
        <is>
          <t>A plan violating the requested buffer is rejected and the solver falls back to one that satisfies it.</t>
        </is>
      </c>
      <c r="F9" s="96" t="inlineStr">
        <is>
          <t>The plan is returned and used; the violation is only reported as an error in the log.</t>
        </is>
      </c>
      <c r="G9" s="98" t="inlineStr">
        <is>
          <t>Medium</t>
        </is>
      </c>
      <c r="H9" s="98" t="inlineStr">
        <is>
          <t>Medium</t>
        </is>
      </c>
      <c r="I9" s="94" t="inlineStr">
        <is>
          <t>Review</t>
        </is>
      </c>
      <c r="J9" s="96" t="inlineStr">
        <is>
          <t>Software Package</t>
        </is>
      </c>
      <c r="K9" s="96" t="inlineStr">
        <is>
          <t>LacamSolver.java:399; PibtEngine.java:311,329</t>
        </is>
      </c>
      <c r="L9" s="96" t="inlineStr">
        <is>
          <t>HungPV</t>
        </is>
      </c>
      <c r="M9" s="97" t="n"/>
      <c r="N9" s="94" t="inlineStr">
        <is>
          <t>Open</t>
        </is>
      </c>
      <c r="O9" s="97" t="n"/>
      <c r="P9" s="97" t="n"/>
      <c r="Q9" s="97" t="n"/>
      <c r="R9" s="96" t="inlineStr">
        <is>
          <t>Enforcement exists at PibtEngine.java:311 and 329. The verifier isKRobust is called from finish() at line 399, which logs but does not reject; the message at line 401 states the limitation. Default kRobust is 0, so the gap stays latent until a non-zero value is configured.</t>
        </is>
      </c>
      <c r="S9" s="1" t="n"/>
      <c r="T9" s="1" t="n"/>
      <c r="U9" s="1" t="n"/>
      <c r="V9" s="1" t="n"/>
      <c r="W9" s="1" t="n"/>
      <c r="X9" s="1" t="n"/>
      <c r="Y9" s="1" t="n"/>
      <c r="Z9" s="1" t="n"/>
    </row>
    <row r="10" ht="14.25" customHeight="1" s="118">
      <c r="A10" s="93" t="inlineStr">
        <is>
          <t>D-006</t>
        </is>
      </c>
      <c r="B10" s="52" t="inlineStr">
        <is>
          <t>2026-07-20</t>
        </is>
      </c>
      <c r="C10" s="51" t="inlineStr">
        <is>
          <t>The plant-model parser reads &lt;property&gt; children of &lt;vehicle&gt; only. Properties declared on point, path, location and block elements are silently discarded, so a map uploaded through WES reaches the kernel with those settings missing.</t>
        </is>
      </c>
      <c r="D10" s="51" t="inlineStr">
        <is>
          <t>1. Add a property such as tcs:parkingPositionPriority to a point in the map XML. 2. Upload the map through WES. 3. Read that point back from the kernel.</t>
        </is>
      </c>
      <c r="E10" s="51" t="inlineStr">
        <is>
          <t>The property is present on the point in the kernel's plant model.</t>
        </is>
      </c>
      <c r="F10" s="51" t="inlineStr">
        <is>
          <t>The property is absent and no warning is emitted.</t>
        </is>
      </c>
      <c r="G10" s="98" t="inlineStr">
        <is>
          <t>Medium</t>
        </is>
      </c>
      <c r="H10" s="98" t="inlineStr">
        <is>
          <t>Medium</t>
        </is>
      </c>
      <c r="I10" s="52" t="inlineStr">
        <is>
          <t>Review</t>
        </is>
      </c>
      <c r="J10" s="51" t="inlineStr">
        <is>
          <t>Software Package</t>
        </is>
      </c>
      <c r="K10" s="51" t="inlineStr">
        <is>
          <t>wes/src/opentcs/map-loader/opentcs-xml.parser.ts:259</t>
        </is>
      </c>
      <c r="L10" s="51" t="inlineStr">
        <is>
          <t>HungPV</t>
        </is>
      </c>
      <c r="M10" s="34" t="n"/>
      <c r="N10" s="94" t="inlineStr">
        <is>
          <t>Open</t>
        </is>
      </c>
      <c r="O10" s="34" t="n"/>
      <c r="P10" s="34" t="n"/>
      <c r="Q10" s="34" t="n"/>
      <c r="R10" s="51" t="inlineStr">
        <is>
          <t>Only VehicleDto declares a properties field (line 46); PointDto, PathDto, LocationDto and BlockDto do not. Same defect class as the vehicle-property loss recorded in Issue I-005, which remains open for this reason.</t>
        </is>
      </c>
      <c r="S10" s="1" t="n"/>
      <c r="T10" s="1" t="n"/>
      <c r="U10" s="1" t="n"/>
      <c r="V10" s="1" t="n"/>
      <c r="W10" s="1" t="n"/>
      <c r="X10" s="1" t="n"/>
      <c r="Y10" s="1" t="n"/>
      <c r="Z10" s="1" t="n"/>
    </row>
    <row r="11" ht="14.25" customHeight="1" s="118">
      <c r="A11" s="93" t="inlineStr">
        <is>
          <t>D-007</t>
        </is>
      </c>
      <c r="B11" s="94" t="inlineStr">
        <is>
          <t>2026-07-25</t>
        </is>
      </c>
      <c r="C11" s="96" t="inlineStr">
        <is>
          <t>On the operation map the cargo box stays drawn at its pick-up point after the AGV has already picked it up and driven away. Vehicles are drawn from a live SSE stream while cargo state is polled every 5 seconds, so the two layers are never in step.</t>
        </is>
      </c>
      <c r="D11" s="96" t="inlineStr">
        <is>
          <t>1. Open Bản đồ → Xem vận hành with at least one AGV in service. 2. Create a cargo and wait for it to be dispatched. 3. Watch the AGV arrive at the pick-up point, complete the pick-up and drive away.</t>
        </is>
      </c>
      <c r="E11" s="96" t="inlineStr">
        <is>
          <t>The cargo box moves onto the AGV in the same moment the AGV starts driving away from the pick-up point.</t>
        </is>
      </c>
      <c r="F11" s="96" t="inlineStr">
        <is>
          <t>The AGV drives away with an empty back; the cargo box jumps onto it up to 5 seconds later, and does not move at all while the browser window is unfocused.</t>
        </is>
      </c>
      <c r="G11" s="98" t="inlineStr">
        <is>
          <t>Medium</t>
        </is>
      </c>
      <c r="H11" s="94" t="inlineStr">
        <is>
          <t>High</t>
        </is>
      </c>
      <c r="I11" s="94" t="inlineStr">
        <is>
          <t>System Test</t>
        </is>
      </c>
      <c r="J11" s="96" t="inlineStr">
        <is>
          <t>Software Package</t>
        </is>
      </c>
      <c r="K11" s="96" t="inlineStr">
        <is>
          <t>wes-client/src/features/map/queries.ts:38; wes-client/src/features/map/useMapShapes.tsx:573</t>
        </is>
      </c>
      <c r="L11" s="96" t="inlineStr">
        <is>
          <t>HungPV</t>
        </is>
      </c>
      <c r="M11" s="97" t="n"/>
      <c r="N11" s="94" t="inlineStr">
        <is>
          <t>Open</t>
        </is>
      </c>
      <c r="O11" s="97" t="n"/>
      <c r="P11" s="97" t="n"/>
      <c r="Q11" s="97" t="n"/>
      <c r="R11" s="96" t="inlineStr">
        <is>
          <t>Only the state flip is late, not the drawing - once visual.state is ON_AGV the box follows the vehicle live. The backend publishes ON_AGV as soon as the task reaches DELIVERING, which TransportTaskSaga sets in the same handler that creates the approach order, i.e. at the moment the vehicle starts moving. The delay is entirely client-side: useCanvasCargosQuery polls on a 5s interval and react-query's refetchIntervalInBackground defaults to false, so the poll stops while the window is unfocused. Fix: push cargo/task changes over the existing SSE channel, or invalidate the cargo query when a vehicle frame reports a procState change.</t>
        </is>
      </c>
      <c r="S11" s="1" t="n"/>
      <c r="T11" s="1" t="n"/>
      <c r="U11" s="1" t="n"/>
      <c r="V11" s="1" t="n"/>
      <c r="W11" s="1" t="n"/>
      <c r="X11" s="1" t="n"/>
      <c r="Y11" s="1" t="n"/>
      <c r="Z11" s="1" t="n"/>
    </row>
    <row r="12" ht="14.25" customHeight="1" s="118">
      <c r="A12" s="93" t="inlineStr">
        <is>
          <t>D-008</t>
        </is>
      </c>
      <c r="B12" s="52" t="inlineStr">
        <is>
          <t>2026-07-25</t>
        </is>
      </c>
      <c r="C12" s="51" t="inlineStr">
        <is>
          <t>When the vehicle SSE stream drops, the operation map silently freezes: vehicles stay drawn at their last known position and only a full page reload brings the map back to life.</t>
        </is>
      </c>
      <c r="D12" s="51" t="inlineStr">
        <is>
          <t>1. Open Bản đồ → Xem vận hành while AGVs are moving. 2. Break the stream - restart the WES backend, or make /api/maps/kernel/sse return an error through the dev proxy. 3. Keep watching the canvas without reloading.</t>
        </is>
      </c>
      <c r="E12" s="51" t="inlineStr">
        <is>
          <t>The client reconnects on its own and vehicles keep moving; while it is disconnected the operator is told the live view is stale.</t>
        </is>
      </c>
      <c r="F12" s="51" t="inlineStr">
        <is>
          <t>Vehicles freeze at their last position with no warning of any kind, and only F5 restores live movement.</t>
        </is>
      </c>
      <c r="G12" s="94" t="inlineStr">
        <is>
          <t>High</t>
        </is>
      </c>
      <c r="H12" s="94" t="inlineStr">
        <is>
          <t>High</t>
        </is>
      </c>
      <c r="I12" s="52" t="inlineStr">
        <is>
          <t>System Test</t>
        </is>
      </c>
      <c r="J12" s="51" t="inlineStr">
        <is>
          <t>Software Package</t>
        </is>
      </c>
      <c r="K12" s="51" t="inlineStr">
        <is>
          <t>wes-client/src/features/map/useVehicleTracking.ts:23; wes-client/src/lib/query.ts:3</t>
        </is>
      </c>
      <c r="L12" s="51" t="inlineStr">
        <is>
          <t>HungPV</t>
        </is>
      </c>
      <c r="M12" s="34" t="n"/>
      <c r="N12" s="94" t="inlineStr">
        <is>
          <t>Open</t>
        </is>
      </c>
      <c r="O12" s="34" t="n"/>
      <c r="P12" s="34" t="n"/>
      <c r="Q12" s="34" t="n"/>
      <c r="R12" s="51" t="inlineStr">
        <is>
          <t>The EventSource is created once with an onmessage handler and no onerror handler, so a failed stream is neither retried by the app nor surfaced to the operator; the browser's own retry covers a clean transport drop, not an HTTP error response such as the one a backend restart produces through the dev proxy. Nothing else refreshes the fleet: the kernel-vehicles query has no refetchInterval and the global query defaults set refetchOnWindowFocus to false with staleTime 10s, so once the stream is gone the snapshot is never fetched again. Fix: handle onerror with a backoff reconnect, refetch the vehicle snapshot on every (re)connect, and show a disconnected banner.</t>
        </is>
      </c>
      <c r="S12" s="1" t="n"/>
      <c r="T12" s="1" t="n"/>
      <c r="U12" s="1" t="n"/>
      <c r="V12" s="1" t="n"/>
      <c r="W12" s="1" t="n"/>
      <c r="X12" s="1" t="n"/>
      <c r="Y12" s="1" t="n"/>
      <c r="Z12" s="1" t="n"/>
    </row>
    <row r="13" ht="14.25" customHeight="1" s="118">
      <c r="A13" s="93" t="inlineStr">
        <is>
          <t>D-009</t>
        </is>
      </c>
      <c r="B13" s="94" t="inlineStr">
        <is>
          <t>2026-07-25</t>
        </is>
      </c>
      <c r="C13" s="96" t="inlineStr">
        <is>
          <t>Every vehicle frame arriving on the SSE stream re-renders the whole operation map and writes a console.log line. One vehicle changing position rebuilds the Konva shapes of every vehicle and every cargo, so the canvas gets heavier as the fleet grows.</t>
        </is>
      </c>
      <c r="D13" s="96" t="inlineStr">
        <is>
          <t>1. Open Bản đồ → Xem vận hành with the full fleet in service. 2. Open the browser devtools console. 3. Pan, zoom and select vehicles while they are moving.</t>
        </is>
      </c>
      <c r="E13" s="96" t="inlineStr">
        <is>
          <t>A frame for one vehicle updates that vehicle only, and the client logs nothing to the console.</t>
        </is>
      </c>
      <c r="F13" s="96" t="inlineStr">
        <is>
          <t>Each frame replaces the whole vehicle array, so all vehicle and cargo shapes are recomputed, and each frame prints a formatted console line - the kernel heartbeat alone pushes one frame per vehicle every 5 seconds on top of the live movement frames.</t>
        </is>
      </c>
      <c r="G13" s="98" t="inlineStr">
        <is>
          <t>Medium</t>
        </is>
      </c>
      <c r="H13" s="98" t="inlineStr">
        <is>
          <t>Medium</t>
        </is>
      </c>
      <c r="I13" s="94" t="inlineStr">
        <is>
          <t>System Test</t>
        </is>
      </c>
      <c r="J13" s="96" t="inlineStr">
        <is>
          <t>Software Package</t>
        </is>
      </c>
      <c r="K13" s="96" t="inlineStr">
        <is>
          <t>wes-client/src/features/map/useVehicleTracking.ts:41; wes-client/src/features/map/MapCanvasTab.tsx:51</t>
        </is>
      </c>
      <c r="L13" s="96" t="inlineStr">
        <is>
          <t>HungPV</t>
        </is>
      </c>
      <c r="M13" s="97" t="n"/>
      <c r="N13" s="49" t="inlineStr">
        <is>
          <t>Fixed</t>
        </is>
      </c>
      <c r="O13" s="97" t="inlineStr">
        <is>
          <t>2026-08-04</t>
        </is>
      </c>
      <c r="P13" s="97" t="n"/>
      <c r="Q13" s="97" t="n"/>
      <c r="R13" s="96" t="inlineStr">
        <is>
          <t>Fixed 2026-08-04 (wes-client commit e9f2306). Each vehicle is now drawn by its own memoised component (VehicleShapes.tsx:175) and motion is interpolated per frame in useVehicleMotion, so a snapshot that changes one vehicle no longer re-renders every shape on the map.</t>
        </is>
      </c>
      <c r="S13" s="1" t="n"/>
      <c r="T13" s="1" t="n"/>
      <c r="U13" s="1" t="n"/>
      <c r="V13" s="1" t="n"/>
      <c r="W13" s="1" t="n"/>
      <c r="X13" s="1" t="n"/>
      <c r="Y13" s="1" t="n"/>
      <c r="Z13" s="1" t="n"/>
    </row>
    <row r="14" ht="14.25" customHeight="1" s="118">
      <c r="A14" s="93" t="inlineStr">
        <is>
          <t>D-010</t>
        </is>
      </c>
      <c r="B14" s="94" t="inlineStr">
        <is>
          <t>2026-07-28</t>
        </is>
      </c>
      <c r="C14" s="96" t="inlineStr">
        <is>
          <t>Park-point claims were released whenever the vehicle's transport order changed, instead of when the claimed park order itself ended. PointReservationStore.reconcile() dropped a claim as soon as vehicle.transportOrder was non-null, so a cargo order, a charge order or a manually issued Move order all cleared a claim whose park order was still queued in the kernel. WES then issued duplicate park orders and sent a second vehicle to a point already promised to another.</t>
        </is>
      </c>
      <c r="D14" s="96" t="inlineStr">
        <is>
          <t>1. Run a cargo batch with the full fleet. 2. Query the kernel's transport orders filtered by one vehicle. 3. Compare the number of PARK-* orders created against the number of deliveries.</t>
        </is>
      </c>
      <c r="E14" s="96" t="inlineStr">
        <is>
          <t>At most one live park order per vehicle, and a park point held for that vehicle until it arrives or its order reaches a final state.</t>
        </is>
      </c>
      <c r="F14" s="96" t="inlineStr">
        <is>
          <t>Four park orders for the same vehicle within 22 seconds and 214 park orders for 80 deliveries. Vehicles were ordered onto points another vehicle already occupied; because openTCS applies no timeout to a transport order, such a vehicle waits at the adjacent point indefinitely and an operator has to withdraw the order by hand.</t>
        </is>
      </c>
      <c r="G14" s="94" t="inlineStr">
        <is>
          <t>High</t>
        </is>
      </c>
      <c r="H14" s="94" t="inlineStr">
        <is>
          <t>High</t>
        </is>
      </c>
      <c r="I14" s="94" t="inlineStr">
        <is>
          <t>System Test</t>
        </is>
      </c>
      <c r="J14" s="96" t="inlineStr">
        <is>
          <t>Software Package</t>
        </is>
      </c>
      <c r="K14" s="96" t="inlineStr">
        <is>
          <t>wes/src/cargo/point-reservation.store.ts:36 (deleted) - replaced by wes/src/cargo/park-claim.store.ts</t>
        </is>
      </c>
      <c r="L14" s="96" t="inlineStr">
        <is>
          <t>HungPV</t>
        </is>
      </c>
      <c r="M14" s="34" t="n"/>
      <c r="N14" s="49" t="inlineStr">
        <is>
          <t>Fixed</t>
        </is>
      </c>
      <c r="O14" s="97" t="inlineStr">
        <is>
          <t>2026-07-29</t>
        </is>
      </c>
      <c r="P14" s="34" t="n"/>
      <c r="Q14" s="34" t="n"/>
      <c r="R14" s="96" t="inlineStr">
        <is>
          <t>Fixed 2026-07-29. The release rule now compares the exact order name and, when the vehicle snapshot cannot settle it, asks the kernel for that order's state. Park orders fell from 214 to 4 on a comparable run. Evidence: wes/report/park-claims-findings.md; rules: ARCHITECTURE.md 6.4.</t>
        </is>
      </c>
      <c r="S14" s="1" t="n"/>
      <c r="T14" s="1" t="n"/>
      <c r="U14" s="1" t="n"/>
      <c r="V14" s="1" t="n"/>
      <c r="W14" s="1" t="n"/>
      <c r="X14" s="1" t="n"/>
      <c r="Y14" s="1" t="n"/>
      <c r="Z14" s="1" t="n"/>
    </row>
    <row r="15" ht="14.25" customHeight="1" s="118">
      <c r="A15" s="93" t="inlineStr">
        <is>
          <t>D-011</t>
        </is>
      </c>
      <c r="B15" s="94" t="inlineStr">
        <is>
          <t>2026-07-28</t>
        </is>
      </c>
      <c r="C15" s="96" t="inlineStr">
        <is>
          <t>Park-point claims lived only in process memory, so every backend restart dropped them and a point already promised to one vehicle was handed to a second.</t>
        </is>
      </c>
      <c r="D15" s="96" t="inlineStr">
        <is>
          <t>1. Let an idle vehicle be issued a park order to point P. 2. While that order is still queued in the kernel and the vehicle has not yet reached P, restart the backend - under `pnpm start:dev` any file save does this. 3. Observe which park point the next idle vehicle is sent to.</t>
        </is>
      </c>
      <c r="E15" s="96" t="inlineStr">
        <is>
          <t>P stays claimed for the first vehicle until it arrives or its order reaches a final state, so no second vehicle is sent there.</t>
        </is>
      </c>
      <c r="F15" s="96" t="inlineStr">
        <is>
          <t>After the restart WES holds no record of the claim on P. P is treated as free and a second vehicle is ordered to park there.</t>
        </is>
      </c>
      <c r="G15" s="98" t="inlineStr">
        <is>
          <t>Medium</t>
        </is>
      </c>
      <c r="H15" s="98" t="inlineStr">
        <is>
          <t>Medium</t>
        </is>
      </c>
      <c r="I15" s="94" t="inlineStr">
        <is>
          <t>System Test</t>
        </is>
      </c>
      <c r="J15" s="96" t="inlineStr">
        <is>
          <t>Software Package</t>
        </is>
      </c>
      <c r="K15" s="96" t="inlineStr">
        <is>
          <t>wes/src/cargo/park-claim.store.ts:80</t>
        </is>
      </c>
      <c r="L15" s="96" t="inlineStr">
        <is>
          <t>HungPV</t>
        </is>
      </c>
      <c r="M15" s="97" t="n"/>
      <c r="N15" s="49" t="inlineStr">
        <is>
          <t>Fixed</t>
        </is>
      </c>
      <c r="O15" s="97" t="inlineStr">
        <is>
          <t>2026-07-29</t>
        </is>
      </c>
      <c r="P15" s="97" t="n"/>
      <c r="Q15" s="97" t="n"/>
      <c r="R15" s="96" t="inlineStr">
        <is>
          <t>Fixed 2026-07-29 by rebuilding the ledger from GET /v1/transportOrders on application bootstrap. Until that query succeeds no engine may create a park order, because reading an empty ledger as 'nothing is claimed' is exactly how duplicate claims arise.</t>
        </is>
      </c>
      <c r="S15" s="1" t="n"/>
      <c r="T15" s="1" t="n"/>
      <c r="U15" s="1" t="n"/>
      <c r="V15" s="1" t="n"/>
      <c r="W15" s="1" t="n"/>
      <c r="X15" s="1" t="n"/>
      <c r="Y15" s="1" t="n"/>
      <c r="Z15" s="1" t="n"/>
    </row>
    <row r="16" ht="14.25" customHeight="1" s="118">
      <c r="A16" s="93" t="inlineStr">
        <is>
          <t>D-012</t>
        </is>
      </c>
      <c r="B16" s="34" t="inlineStr">
        <is>
          <t>2026-08-04</t>
        </is>
      </c>
      <c r="C16" s="34" t="inlineStr">
        <is>
          <t>The approach point for the delivery leg is chosen before the drop-off slot is known, so a vehicle can be sent to a gate from which its own slot cannot be reached.</t>
        </is>
      </c>
      <c r="D16" s="34" t="inlineStr">
        <is>
          <t>1. Run a cargo batch into a drop-off zone whose columns each have a single entry gate. 2. Watch a vehicle finish its pick-up leg and receive its approach order. 3. Compare the gate it was sent to with the column of the slot the delivery slot engine assigns on arrival.</t>
        </is>
      </c>
      <c r="E16" s="34" t="inlineStr">
        <is>
          <t>The vehicle is sent to the gate of the column that contains its drop-off slot.</t>
        </is>
      </c>
      <c r="F16" s="34" t="inlineStr">
        <is>
          <t>V-0014 was sent to gate 3065 (column B) at 14:17:31. The slot computed when it arrived at 14:17:39 was 3130, which sits in column A behind gate 3073. The vehicle had to leave the zone and drive a full loop before it could enter, finishing at 14:19:00 instead of 14:18:05. The deepest slot stayed empty while two shallower ones were already filled.</t>
        </is>
      </c>
      <c r="G16" s="94" t="inlineStr">
        <is>
          <t>High</t>
        </is>
      </c>
      <c r="H16" s="94" t="inlineStr">
        <is>
          <t>High</t>
        </is>
      </c>
      <c r="I16" s="34" t="inlineStr">
        <is>
          <t>System Test</t>
        </is>
      </c>
      <c r="J16" s="34" t="inlineStr">
        <is>
          <t>Software Package</t>
        </is>
      </c>
      <c r="K16" s="34" t="inlineStr">
        <is>
          <t>wes/src/cargo/transport-task.saga.ts:119 (approach point issued) against :284 (slot computed)</t>
        </is>
      </c>
      <c r="L16" s="96" t="inlineStr">
        <is>
          <t>HungPV</t>
        </is>
      </c>
      <c r="M16" s="34" t="n"/>
      <c r="N16" s="94" t="inlineStr">
        <is>
          <t>Open</t>
        </is>
      </c>
      <c r="O16" s="34" t="n"/>
      <c r="P16" s="34" t="n"/>
      <c r="Q16" s="34" t="n"/>
      <c r="R16" s="34" t="inlineStr">
        <is>
          <t>The gate is picked by ApproachPointService.pickFor, which selects the feeder nearest to the vehicle. Distance from the vehicle to a gate and membership of a slot in a column are unrelated quantities, so a correct gate is a coincidence rather than a decision.</t>
        </is>
      </c>
      <c r="S16" s="1" t="n"/>
      <c r="T16" s="1" t="n"/>
      <c r="U16" s="1" t="n"/>
      <c r="V16" s="1" t="n"/>
      <c r="W16" s="1" t="n"/>
      <c r="X16" s="1" t="n"/>
      <c r="Y16" s="1" t="n"/>
      <c r="Z16" s="1" t="n"/>
    </row>
    <row r="17" ht="14.25" customHeight="1" s="118">
      <c r="A17" s="93" t="inlineStr">
        <is>
          <t>D-013</t>
        </is>
      </c>
      <c r="B17" s="97" t="inlineStr">
        <is>
          <t>2026-08-04</t>
        </is>
      </c>
      <c r="C17" s="97" t="inlineStr">
        <is>
          <t>The approach point is selected one vehicle at a time, so two vehicles can be committed to the same gate, and therefore the same column, at once.</t>
        </is>
      </c>
      <c r="D17" s="97" t="inlineStr">
        <is>
          <t>1. Run a cargo batch with several vehicles delivering into the same zone. 2. Record the approach point issued to each vehicle. 3. Look for two live approach orders naming the same gate.</t>
        </is>
      </c>
      <c r="E17" s="97" t="inlineStr">
        <is>
          <t>Two vehicles are never committed to the same gate at the same time.</t>
        </is>
      </c>
      <c r="F17" s="97" t="inlineStr">
        <is>
          <t>V-0006 was sent to gate 3065 while V-0014 was still standing on it. Traffic coordination pushed V-0006 off the point and it re-entered three times, losing 11 seconds.</t>
        </is>
      </c>
      <c r="G17" s="98" t="inlineStr">
        <is>
          <t>Medium</t>
        </is>
      </c>
      <c r="H17" s="98" t="inlineStr">
        <is>
          <t>Medium</t>
        </is>
      </c>
      <c r="I17" s="97" t="inlineStr">
        <is>
          <t>System Test</t>
        </is>
      </c>
      <c r="J17" s="97" t="inlineStr">
        <is>
          <t>Software Package</t>
        </is>
      </c>
      <c r="K17" s="97" t="inlineStr">
        <is>
          <t>wes/src/cargo/approach-point.service.ts:14 - pickFor takes a single vehicleName</t>
        </is>
      </c>
      <c r="L17" s="96" t="inlineStr">
        <is>
          <t>HungPV</t>
        </is>
      </c>
      <c r="M17" s="97" t="n"/>
      <c r="N17" s="94" t="inlineStr">
        <is>
          <t>Open</t>
        </is>
      </c>
      <c r="O17" s="97" t="n"/>
      <c r="P17" s="97" t="n"/>
      <c r="Q17" s="97" t="n"/>
      <c r="R17" s="97" t="inlineStr">
        <is>
          <t>Independent of D-012: computing the slot before choosing the gate does not stop two vehicles choosing the same gate, because pickFor evaluates one vehicle at a time with no knowledge of the gates the others are already heading to.</t>
        </is>
      </c>
      <c r="S17" s="1" t="n"/>
      <c r="T17" s="1" t="n"/>
      <c r="U17" s="1" t="n"/>
      <c r="V17" s="1" t="n"/>
      <c r="W17" s="1" t="n"/>
      <c r="X17" s="1" t="n"/>
      <c r="Y17" s="1" t="n"/>
      <c r="Z17" s="1" t="n"/>
    </row>
    <row r="18" ht="14.25" customHeight="1" s="118">
      <c r="A18" s="93" t="inlineStr">
        <is>
          <t>D-014</t>
        </is>
      </c>
      <c r="B18" s="34" t="inlineStr">
        <is>
          <t>2026-08-05</t>
        </is>
      </c>
      <c r="C18" s="34" t="inlineStr">
        <is>
          <t>The AllocatorTask SEVERE flood ("Not allocating resources that are not next claimed resources") stalls the kernel's REST API: LOG.error runs inside synchronized(globalSyncObject) and the JUL FileHandler writes to disk synchronously, so every one of those log lines holds the kernel's global lock while doing file I/O.</t>
        </is>
      </c>
      <c r="D18" s="34" t="inlineStr">
        <is>
          <t>1. Run the full-cargo batch of 80 tasks (scripts/scenarios/fullpick-80-4zone.json). 2. While the batch runs, sample GET /v1/vehicles at about 9 Hz and record p50/p99/max latency. 3. Count SEVERE lines in the kernel log over the same time window.</t>
        </is>
      </c>
      <c r="E18" s="34" t="inlineStr">
        <is>
          <t>/v1/vehicles latency stays near its p50 and does not depend on how many lines the kernel is logging.</t>
        </is>
      </c>
      <c r="F18" s="34" t="inlineStr">
        <is>
          <t>p50 = 2 ms but p99 = 746 ms and max = 1003 ms (batch 10:02:04-10:10:02, 477.2 s). The same window holds 8,214 SEVERE lines = 8.44 per dispatch cycle, 67.6 percent of the log bytes, with the log ring rotating every 107-165 s. Suspected downstream effect: the live map receives bunched-then-stale frames; 111 A-B-A position oscillations were measured, every one completing its round trip in under 400 ms.</t>
        </is>
      </c>
      <c r="G18" s="94" t="inlineStr">
        <is>
          <t>High</t>
        </is>
      </c>
      <c r="H18" s="98" t="inlineStr">
        <is>
          <t>Medium</t>
        </is>
      </c>
      <c r="I18" s="34" t="inlineStr">
        <is>
          <t>System Test</t>
        </is>
      </c>
      <c r="J18" s="34" t="inlineStr">
        <is>
          <t>Software Package</t>
        </is>
      </c>
      <c r="K18" s="34" t="inlineStr">
        <is>
          <t>openTCS kernel 7.3.0 - AllocatorTask.tryAllocate() and DefaultScheduler; WES REST /v1/vehicles; live map</t>
        </is>
      </c>
      <c r="L18" s="96" t="inlineStr">
        <is>
          <t>HungPV</t>
        </is>
      </c>
      <c r="M18" s="34" t="n"/>
      <c r="N18" s="94" t="inlineStr">
        <is>
          <t>Open</t>
        </is>
      </c>
      <c r="O18" s="34" t="n"/>
      <c r="P18" s="34" t="n"/>
      <c r="Q18" s="34" t="inlineStr">
        <is>
          <t>2026-08-05</t>
        </is>
      </c>
      <c r="R18" s="34" t="inlineStr">
        <is>
          <t>NOT FIXED. The defect is in stock openTCS 7.3.0, consumed as a binary Maven dependency, so it cannot be patched directly. The FMSScheduler.claim() override cut SEVERE from 22,204 to 4,680, but this batch rose again to 8,214 and that regression is unexplained. Note that resyncClaimTo() never logged once, i.e. isNextInClaim() passed on every synchronous allocate(), so the claim divergence appears AFTER enqueue on the kernelExecutor; only shadowing AllocatorTask can reach it. The causal link between the REST stalling and the map flicker is so far only a correlation in the numbers, NOT proven.</t>
        </is>
      </c>
      <c r="S18" s="1" t="n"/>
      <c r="T18" s="1" t="n"/>
      <c r="U18" s="1" t="n"/>
      <c r="V18" s="1" t="n"/>
      <c r="W18" s="1" t="n"/>
      <c r="X18" s="1" t="n"/>
      <c r="Y18" s="1" t="n"/>
      <c r="Z18" s="1" t="n"/>
    </row>
    <row r="19" ht="14.25" customHeight="1" s="118">
      <c r="A19" s="93" t="inlineStr">
        <is>
          <t>D-015</t>
        </is>
      </c>
      <c r="B19" s="97" t="n"/>
      <c r="C19" s="97" t="n"/>
      <c r="D19" s="97" t="n"/>
      <c r="E19" s="97" t="n"/>
      <c r="F19" s="97" t="n"/>
      <c r="G19" s="98" t="inlineStr">
        <is>
          <t>Medium</t>
        </is>
      </c>
      <c r="H19" s="98" t="inlineStr">
        <is>
          <t>Medium</t>
        </is>
      </c>
      <c r="I19" s="97" t="n"/>
      <c r="J19" s="97" t="n"/>
      <c r="K19" s="97" t="n"/>
      <c r="L19" s="97" t="n"/>
      <c r="M19" s="97" t="n"/>
      <c r="N19" s="98" t="inlineStr">
        <is>
          <t>Pending</t>
        </is>
      </c>
      <c r="O19" s="97" t="n"/>
      <c r="P19" s="97" t="n"/>
      <c r="Q19" s="97" t="n"/>
      <c r="R19" s="97" t="n"/>
      <c r="S19" s="1" t="n"/>
      <c r="T19" s="1" t="n"/>
      <c r="U19" s="1" t="n"/>
      <c r="V19" s="1" t="n"/>
      <c r="W19" s="1" t="n"/>
      <c r="X19" s="1" t="n"/>
      <c r="Y19" s="1" t="n"/>
      <c r="Z19" s="1" t="n"/>
    </row>
    <row r="20" ht="14.25" customHeight="1" s="118">
      <c r="A20" s="93" t="inlineStr">
        <is>
          <t>D-016</t>
        </is>
      </c>
      <c r="B20" s="34" t="n"/>
      <c r="C20" s="34" t="n"/>
      <c r="D20" s="34" t="n"/>
      <c r="E20" s="34" t="n"/>
      <c r="F20" s="34" t="n"/>
      <c r="G20" s="98" t="inlineStr">
        <is>
          <t>Medium</t>
        </is>
      </c>
      <c r="H20" s="98" t="inlineStr">
        <is>
          <t>Medium</t>
        </is>
      </c>
      <c r="I20" s="34" t="n"/>
      <c r="J20" s="34" t="n"/>
      <c r="K20" s="34" t="n"/>
      <c r="L20" s="34" t="n"/>
      <c r="M20" s="34" t="n"/>
      <c r="N20" s="98" t="inlineStr">
        <is>
          <t>Pending</t>
        </is>
      </c>
      <c r="O20" s="34" t="n"/>
      <c r="P20" s="34" t="n"/>
      <c r="Q20" s="34" t="n"/>
      <c r="R20" s="34" t="n"/>
      <c r="S20" s="1" t="n"/>
      <c r="T20" s="1" t="n"/>
      <c r="U20" s="1" t="n"/>
      <c r="V20" s="1" t="n"/>
      <c r="W20" s="1" t="n"/>
      <c r="X20" s="1" t="n"/>
      <c r="Y20" s="1" t="n"/>
      <c r="Z20" s="1" t="n"/>
    </row>
    <row r="21" ht="14.25" customHeight="1" s="118">
      <c r="A21" s="93" t="inlineStr">
        <is>
          <t>D-017</t>
        </is>
      </c>
      <c r="B21" s="97" t="n"/>
      <c r="C21" s="97" t="n"/>
      <c r="D21" s="97" t="n"/>
      <c r="E21" s="97" t="n"/>
      <c r="F21" s="97" t="n"/>
      <c r="G21" s="98" t="inlineStr">
        <is>
          <t>Medium</t>
        </is>
      </c>
      <c r="H21" s="98" t="inlineStr">
        <is>
          <t>Medium</t>
        </is>
      </c>
      <c r="I21" s="97" t="n"/>
      <c r="J21" s="97" t="n"/>
      <c r="K21" s="97" t="n"/>
      <c r="L21" s="97" t="n"/>
      <c r="M21" s="97" t="n"/>
      <c r="N21" s="98" t="inlineStr">
        <is>
          <t>Pending</t>
        </is>
      </c>
      <c r="O21" s="97" t="n"/>
      <c r="P21" s="97" t="n"/>
      <c r="Q21" s="97" t="n"/>
      <c r="R21" s="97" t="n"/>
      <c r="S21" s="1" t="n"/>
      <c r="T21" s="1" t="n"/>
      <c r="U21" s="1" t="n"/>
      <c r="V21" s="1" t="n"/>
      <c r="W21" s="1" t="n"/>
      <c r="X21" s="1" t="n"/>
      <c r="Y21" s="1" t="n"/>
      <c r="Z21" s="1" t="n"/>
    </row>
    <row r="22" ht="14.25" customHeight="1" s="118">
      <c r="A22" s="93" t="inlineStr">
        <is>
          <t>D-018</t>
        </is>
      </c>
      <c r="B22" s="34" t="n"/>
      <c r="C22" s="34" t="n"/>
      <c r="D22" s="34" t="n"/>
      <c r="E22" s="34" t="n"/>
      <c r="F22" s="34" t="n"/>
      <c r="G22" s="98" t="inlineStr">
        <is>
          <t>Medium</t>
        </is>
      </c>
      <c r="H22" s="98" t="inlineStr">
        <is>
          <t>Medium</t>
        </is>
      </c>
      <c r="I22" s="34" t="n"/>
      <c r="J22" s="34" t="n"/>
      <c r="K22" s="34" t="n"/>
      <c r="L22" s="34" t="n"/>
      <c r="M22" s="34" t="n"/>
      <c r="N22" s="98" t="inlineStr">
        <is>
          <t>Pending</t>
        </is>
      </c>
      <c r="O22" s="34" t="n"/>
      <c r="P22" s="34" t="n"/>
      <c r="Q22" s="34" t="n"/>
      <c r="R22" s="34" t="n"/>
      <c r="S22" s="1" t="n"/>
      <c r="T22" s="1" t="n"/>
      <c r="U22" s="1" t="n"/>
      <c r="V22" s="1" t="n"/>
      <c r="W22" s="1" t="n"/>
      <c r="X22" s="1" t="n"/>
      <c r="Y22" s="1" t="n"/>
      <c r="Z22" s="1" t="n"/>
    </row>
    <row r="23" ht="14.25" customHeight="1" s="118">
      <c r="A23" s="93" t="inlineStr">
        <is>
          <t>D-019</t>
        </is>
      </c>
      <c r="B23" s="97" t="n"/>
      <c r="C23" s="97" t="n"/>
      <c r="D23" s="97" t="n"/>
      <c r="E23" s="97" t="n"/>
      <c r="F23" s="97" t="n"/>
      <c r="G23" s="98" t="inlineStr">
        <is>
          <t>Medium</t>
        </is>
      </c>
      <c r="H23" s="98" t="inlineStr">
        <is>
          <t>Medium</t>
        </is>
      </c>
      <c r="I23" s="97" t="n"/>
      <c r="J23" s="97" t="n"/>
      <c r="K23" s="97" t="n"/>
      <c r="L23" s="97" t="n"/>
      <c r="M23" s="97" t="n"/>
      <c r="N23" s="98" t="inlineStr">
        <is>
          <t>Pending</t>
        </is>
      </c>
      <c r="O23" s="97" t="n"/>
      <c r="P23" s="97" t="n"/>
      <c r="Q23" s="97" t="n"/>
      <c r="R23" s="97" t="n"/>
      <c r="S23" s="1" t="n"/>
      <c r="T23" s="1" t="n"/>
      <c r="U23" s="1" t="n"/>
      <c r="V23" s="1" t="n"/>
      <c r="W23" s="1" t="n"/>
      <c r="X23" s="1" t="n"/>
      <c r="Y23" s="1" t="n"/>
      <c r="Z23" s="1" t="n"/>
    </row>
    <row r="24" ht="14.25" customHeight="1" s="118">
      <c r="A24" s="93" t="inlineStr">
        <is>
          <t>D-020</t>
        </is>
      </c>
      <c r="B24" s="34" t="n"/>
      <c r="C24" s="34" t="n"/>
      <c r="D24" s="34" t="n"/>
      <c r="E24" s="34" t="n"/>
      <c r="F24" s="34" t="n"/>
      <c r="G24" s="98" t="inlineStr">
        <is>
          <t>Medium</t>
        </is>
      </c>
      <c r="H24" s="98" t="inlineStr">
        <is>
          <t>Medium</t>
        </is>
      </c>
      <c r="I24" s="34" t="n"/>
      <c r="J24" s="34" t="n"/>
      <c r="K24" s="34" t="n"/>
      <c r="L24" s="34" t="n"/>
      <c r="M24" s="34" t="n"/>
      <c r="N24" s="98" t="inlineStr">
        <is>
          <t>Pending</t>
        </is>
      </c>
      <c r="O24" s="34" t="n"/>
      <c r="P24" s="34" t="n"/>
      <c r="Q24" s="34" t="n"/>
      <c r="R24" s="34" t="n"/>
      <c r="S24" s="1" t="n"/>
      <c r="T24" s="1" t="n"/>
      <c r="U24" s="1" t="n"/>
      <c r="V24" s="1" t="n"/>
      <c r="W24" s="1" t="n"/>
      <c r="X24" s="1" t="n"/>
      <c r="Y24" s="1" t="n"/>
      <c r="Z24" s="1" t="n"/>
    </row>
    <row r="25" ht="14.25" customHeight="1" s="118">
      <c r="A25" s="93" t="inlineStr">
        <is>
          <t>D-021</t>
        </is>
      </c>
      <c r="B25" s="97" t="n"/>
      <c r="C25" s="97" t="n"/>
      <c r="D25" s="97" t="n"/>
      <c r="E25" s="97" t="n"/>
      <c r="F25" s="97" t="n"/>
      <c r="G25" s="98" t="inlineStr">
        <is>
          <t>Medium</t>
        </is>
      </c>
      <c r="H25" s="98" t="inlineStr">
        <is>
          <t>Medium</t>
        </is>
      </c>
      <c r="I25" s="97" t="n"/>
      <c r="J25" s="97" t="n"/>
      <c r="K25" s="97" t="n"/>
      <c r="L25" s="97" t="n"/>
      <c r="M25" s="97" t="n"/>
      <c r="N25" s="98" t="inlineStr">
        <is>
          <t>Pending</t>
        </is>
      </c>
      <c r="O25" s="97" t="n"/>
      <c r="P25" s="97" t="n"/>
      <c r="Q25" s="97" t="n"/>
      <c r="R25" s="97" t="n"/>
      <c r="S25" s="1" t="n"/>
      <c r="T25" s="1" t="n"/>
      <c r="U25" s="1" t="n"/>
      <c r="V25" s="1" t="n"/>
      <c r="W25" s="1" t="n"/>
      <c r="X25" s="1" t="n"/>
      <c r="Y25" s="1" t="n"/>
      <c r="Z25" s="1" t="n"/>
    </row>
    <row r="26" ht="14.25" customHeight="1" s="118">
      <c r="A26" s="93" t="inlineStr">
        <is>
          <t>D-022</t>
        </is>
      </c>
      <c r="B26" s="34" t="n"/>
      <c r="C26" s="34" t="n"/>
      <c r="D26" s="34" t="n"/>
      <c r="E26" s="34" t="n"/>
      <c r="F26" s="34" t="n"/>
      <c r="G26" s="98" t="inlineStr">
        <is>
          <t>Medium</t>
        </is>
      </c>
      <c r="H26" s="98" t="inlineStr">
        <is>
          <t>Medium</t>
        </is>
      </c>
      <c r="I26" s="34" t="n"/>
      <c r="J26" s="34" t="n"/>
      <c r="K26" s="34" t="n"/>
      <c r="L26" s="34" t="n"/>
      <c r="M26" s="34" t="n"/>
      <c r="N26" s="98" t="inlineStr">
        <is>
          <t>Pending</t>
        </is>
      </c>
      <c r="O26" s="34" t="n"/>
      <c r="P26" s="34" t="n"/>
      <c r="Q26" s="34" t="n"/>
      <c r="R26" s="34" t="n"/>
      <c r="S26" s="1" t="n"/>
      <c r="T26" s="1" t="n"/>
      <c r="U26" s="1" t="n"/>
      <c r="V26" s="1" t="n"/>
      <c r="W26" s="1" t="n"/>
      <c r="X26" s="1" t="n"/>
      <c r="Y26" s="1" t="n"/>
      <c r="Z26" s="1" t="n"/>
    </row>
    <row r="27" ht="14.25" customHeight="1" s="118">
      <c r="A27" s="93" t="inlineStr">
        <is>
          <t>D-023</t>
        </is>
      </c>
      <c r="B27" s="97" t="n"/>
      <c r="C27" s="97" t="n"/>
      <c r="D27" s="97" t="n"/>
      <c r="E27" s="97" t="n"/>
      <c r="F27" s="97" t="n"/>
      <c r="G27" s="98" t="inlineStr">
        <is>
          <t>Medium</t>
        </is>
      </c>
      <c r="H27" s="98" t="inlineStr">
        <is>
          <t>Medium</t>
        </is>
      </c>
      <c r="I27" s="97" t="n"/>
      <c r="J27" s="97" t="n"/>
      <c r="K27" s="97" t="n"/>
      <c r="L27" s="97" t="n"/>
      <c r="M27" s="97" t="n"/>
      <c r="N27" s="98" t="inlineStr">
        <is>
          <t>Pending</t>
        </is>
      </c>
      <c r="O27" s="97" t="n"/>
      <c r="P27" s="97" t="n"/>
      <c r="Q27" s="97" t="n"/>
      <c r="R27" s="97" t="n"/>
      <c r="S27" s="1" t="n"/>
      <c r="T27" s="1" t="n"/>
      <c r="U27" s="1" t="n"/>
      <c r="V27" s="1" t="n"/>
      <c r="W27" s="1" t="n"/>
      <c r="X27" s="1" t="n"/>
      <c r="Y27" s="1" t="n"/>
      <c r="Z27" s="1" t="n"/>
    </row>
    <row r="28" ht="14.25" customHeight="1" s="118">
      <c r="A28" s="93" t="inlineStr">
        <is>
          <t>D-024</t>
        </is>
      </c>
      <c r="B28" s="34" t="n"/>
      <c r="C28" s="34" t="n"/>
      <c r="D28" s="34" t="n"/>
      <c r="E28" s="34" t="n"/>
      <c r="F28" s="34" t="n"/>
      <c r="G28" s="98" t="inlineStr">
        <is>
          <t>Medium</t>
        </is>
      </c>
      <c r="H28" s="98" t="inlineStr">
        <is>
          <t>Medium</t>
        </is>
      </c>
      <c r="I28" s="34" t="n"/>
      <c r="J28" s="34" t="n"/>
      <c r="K28" s="34" t="n"/>
      <c r="L28" s="34" t="n"/>
      <c r="M28" s="34" t="n"/>
      <c r="N28" s="98" t="inlineStr">
        <is>
          <t>Pending</t>
        </is>
      </c>
      <c r="O28" s="34" t="n"/>
      <c r="P28" s="34" t="n"/>
      <c r="Q28" s="34" t="n"/>
      <c r="R28" s="34" t="n"/>
      <c r="S28" s="1" t="n"/>
      <c r="T28" s="1" t="n"/>
      <c r="U28" s="1" t="n"/>
      <c r="V28" s="1" t="n"/>
      <c r="W28" s="1" t="n"/>
      <c r="X28" s="1" t="n"/>
      <c r="Y28" s="1" t="n"/>
      <c r="Z28" s="1" t="n"/>
    </row>
    <row r="29" ht="14.25" customHeight="1" s="118">
      <c r="A29" s="93" t="inlineStr">
        <is>
          <t>D-025</t>
        </is>
      </c>
      <c r="B29" s="97" t="n"/>
      <c r="C29" s="97" t="n"/>
      <c r="D29" s="97" t="n"/>
      <c r="E29" s="97" t="n"/>
      <c r="F29" s="97" t="n"/>
      <c r="G29" s="98" t="inlineStr">
        <is>
          <t>Medium</t>
        </is>
      </c>
      <c r="H29" s="98" t="inlineStr">
        <is>
          <t>Medium</t>
        </is>
      </c>
      <c r="I29" s="97" t="n"/>
      <c r="J29" s="97" t="n"/>
      <c r="K29" s="97" t="n"/>
      <c r="L29" s="97" t="n"/>
      <c r="M29" s="97" t="n"/>
      <c r="N29" s="98" t="inlineStr">
        <is>
          <t>Pending</t>
        </is>
      </c>
      <c r="O29" s="97" t="n"/>
      <c r="P29" s="97" t="n"/>
      <c r="Q29" s="97" t="n"/>
      <c r="R29" s="97" t="n"/>
      <c r="S29" s="1" t="n"/>
      <c r="T29" s="1" t="n"/>
      <c r="U29" s="1" t="n"/>
      <c r="V29" s="1" t="n"/>
      <c r="W29" s="1" t="n"/>
      <c r="X29" s="1" t="n"/>
      <c r="Y29" s="1" t="n"/>
      <c r="Z29" s="1" t="n"/>
    </row>
    <row r="30" ht="14.25" customHeight="1" s="118">
      <c r="A30" s="93" t="inlineStr">
        <is>
          <t>D-026</t>
        </is>
      </c>
      <c r="B30" s="34" t="n"/>
      <c r="C30" s="34" t="n"/>
      <c r="D30" s="34" t="n"/>
      <c r="E30" s="34" t="n"/>
      <c r="F30" s="34" t="n"/>
      <c r="G30" s="98" t="inlineStr">
        <is>
          <t>Medium</t>
        </is>
      </c>
      <c r="H30" s="98" t="inlineStr">
        <is>
          <t>Medium</t>
        </is>
      </c>
      <c r="I30" s="34" t="n"/>
      <c r="J30" s="34" t="n"/>
      <c r="K30" s="34" t="n"/>
      <c r="L30" s="34" t="n"/>
      <c r="M30" s="34" t="n"/>
      <c r="N30" s="98" t="inlineStr">
        <is>
          <t>Pending</t>
        </is>
      </c>
      <c r="O30" s="34" t="n"/>
      <c r="P30" s="34" t="n"/>
      <c r="Q30" s="34" t="n"/>
      <c r="R30" s="34" t="n"/>
      <c r="S30" s="1" t="n"/>
      <c r="T30" s="1" t="n"/>
      <c r="U30" s="1" t="n"/>
      <c r="V30" s="1" t="n"/>
      <c r="W30" s="1" t="n"/>
      <c r="X30" s="1" t="n"/>
      <c r="Y30" s="1" t="n"/>
      <c r="Z30" s="1" t="n"/>
    </row>
    <row r="31" ht="14.25" customHeight="1" s="118">
      <c r="A31" s="93" t="inlineStr">
        <is>
          <t>D-027</t>
        </is>
      </c>
      <c r="B31" s="97" t="n"/>
      <c r="C31" s="97" t="n"/>
      <c r="D31" s="97" t="n"/>
      <c r="E31" s="97" t="n"/>
      <c r="F31" s="97" t="n"/>
      <c r="G31" s="98" t="inlineStr">
        <is>
          <t>Medium</t>
        </is>
      </c>
      <c r="H31" s="98" t="inlineStr">
        <is>
          <t>Medium</t>
        </is>
      </c>
      <c r="I31" s="97" t="n"/>
      <c r="J31" s="97" t="n"/>
      <c r="K31" s="97" t="n"/>
      <c r="L31" s="97" t="n"/>
      <c r="M31" s="97" t="n"/>
      <c r="N31" s="98" t="inlineStr">
        <is>
          <t>Pending</t>
        </is>
      </c>
      <c r="O31" s="97" t="n"/>
      <c r="P31" s="97" t="n"/>
      <c r="Q31" s="97" t="n"/>
      <c r="R31" s="97" t="n"/>
      <c r="S31" s="1" t="n"/>
      <c r="T31" s="1" t="n"/>
      <c r="U31" s="1" t="n"/>
      <c r="V31" s="1" t="n"/>
      <c r="W31" s="1" t="n"/>
      <c r="X31" s="1" t="n"/>
      <c r="Y31" s="1" t="n"/>
      <c r="Z31" s="1" t="n"/>
    </row>
    <row r="32" ht="14.25" customHeight="1" s="118">
      <c r="A32" s="93" t="inlineStr">
        <is>
          <t>D-028</t>
        </is>
      </c>
      <c r="B32" s="34" t="n"/>
      <c r="C32" s="34" t="n"/>
      <c r="D32" s="34" t="n"/>
      <c r="E32" s="34" t="n"/>
      <c r="F32" s="34" t="n"/>
      <c r="G32" s="98" t="inlineStr">
        <is>
          <t>Medium</t>
        </is>
      </c>
      <c r="H32" s="98" t="inlineStr">
        <is>
          <t>Medium</t>
        </is>
      </c>
      <c r="I32" s="34" t="n"/>
      <c r="J32" s="34" t="n"/>
      <c r="K32" s="34" t="n"/>
      <c r="L32" s="34" t="n"/>
      <c r="M32" s="34" t="n"/>
      <c r="N32" s="98" t="inlineStr">
        <is>
          <t>Pending</t>
        </is>
      </c>
      <c r="O32" s="34" t="n"/>
      <c r="P32" s="34" t="n"/>
      <c r="Q32" s="34" t="n"/>
      <c r="R32" s="34" t="n"/>
      <c r="S32" s="1" t="n"/>
      <c r="T32" s="1" t="n"/>
      <c r="U32" s="1" t="n"/>
      <c r="V32" s="1" t="n"/>
      <c r="W32" s="1" t="n"/>
      <c r="X32" s="1" t="n"/>
      <c r="Y32" s="1" t="n"/>
      <c r="Z32" s="1" t="n"/>
    </row>
    <row r="33" ht="14.25" customHeight="1" s="118">
      <c r="A33" s="93" t="inlineStr">
        <is>
          <t>D-029</t>
        </is>
      </c>
      <c r="B33" s="97" t="n"/>
      <c r="C33" s="97" t="n"/>
      <c r="D33" s="97" t="n"/>
      <c r="E33" s="97" t="n"/>
      <c r="F33" s="97" t="n"/>
      <c r="G33" s="98" t="inlineStr">
        <is>
          <t>Medium</t>
        </is>
      </c>
      <c r="H33" s="98" t="inlineStr">
        <is>
          <t>Medium</t>
        </is>
      </c>
      <c r="I33" s="97" t="n"/>
      <c r="J33" s="97" t="n"/>
      <c r="K33" s="97" t="n"/>
      <c r="L33" s="97" t="n"/>
      <c r="M33" s="97" t="n"/>
      <c r="N33" s="98" t="inlineStr">
        <is>
          <t>Pending</t>
        </is>
      </c>
      <c r="O33" s="97" t="n"/>
      <c r="P33" s="97" t="n"/>
      <c r="Q33" s="97" t="n"/>
      <c r="R33" s="97" t="n"/>
      <c r="S33" s="1" t="n"/>
      <c r="T33" s="1" t="n"/>
      <c r="U33" s="1" t="n"/>
      <c r="V33" s="1" t="n"/>
      <c r="W33" s="1" t="n"/>
      <c r="X33" s="1" t="n"/>
      <c r="Y33" s="1" t="n"/>
      <c r="Z33" s="1" t="n"/>
    </row>
    <row r="34" ht="14.25" customHeight="1" s="118">
      <c r="A34" s="93" t="inlineStr">
        <is>
          <t>D-030</t>
        </is>
      </c>
      <c r="B34" s="34" t="n"/>
      <c r="C34" s="34" t="n"/>
      <c r="D34" s="34" t="n"/>
      <c r="E34" s="34" t="n"/>
      <c r="F34" s="34" t="n"/>
      <c r="G34" s="98" t="inlineStr">
        <is>
          <t>Medium</t>
        </is>
      </c>
      <c r="H34" s="98" t="inlineStr">
        <is>
          <t>Medium</t>
        </is>
      </c>
      <c r="I34" s="34" t="n"/>
      <c r="J34" s="34" t="n"/>
      <c r="K34" s="34" t="n"/>
      <c r="L34" s="34" t="n"/>
      <c r="M34" s="34" t="n"/>
      <c r="N34" s="98" t="inlineStr">
        <is>
          <t>Pending</t>
        </is>
      </c>
      <c r="O34" s="34" t="n"/>
      <c r="P34" s="34" t="n"/>
      <c r="Q34" s="34" t="n"/>
      <c r="R34" s="34" t="n"/>
      <c r="S34" s="1" t="n"/>
      <c r="T34" s="1" t="n"/>
      <c r="U34" s="1" t="n"/>
      <c r="V34" s="1" t="n"/>
      <c r="W34" s="1" t="n"/>
      <c r="X34" s="1" t="n"/>
      <c r="Y34" s="1" t="n"/>
      <c r="Z34" s="1" t="n"/>
    </row>
    <row r="35" ht="14.25" customHeight="1" s="11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1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1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1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11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11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11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11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11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11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1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1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1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1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1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1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1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1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1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1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1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1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1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1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1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1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1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1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1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1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1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1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1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1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1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1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1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1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1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1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1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1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1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1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1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1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1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1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1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1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1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1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1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1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1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1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1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1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1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1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1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1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1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1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1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1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1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1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1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1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1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1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1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1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1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1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1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1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1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1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1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1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1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1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1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1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1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1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1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1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1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1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1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1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1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1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1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1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1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1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1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1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1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1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1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1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1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1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1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1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1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1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1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1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1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1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1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1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1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1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1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1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1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1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1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1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1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1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1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1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1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1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1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1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1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1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1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1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1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1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1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1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1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1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1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1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1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1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1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1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1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1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1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1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1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1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1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1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1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1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1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1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1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1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1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11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11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11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11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11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11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11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11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11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11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11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11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11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11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11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11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11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1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11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11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1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4.25" customHeight="1" s="1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4.25" customHeight="1" s="1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4.25" customHeight="1" s="1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4.25" customHeight="1" s="1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4.25" customHeight="1" s="1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4.25" customHeight="1" s="1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4.25" customHeight="1" s="1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4.25" customHeight="1" s="1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4.25" customHeight="1" s="1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4.25" customHeight="1" s="1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4.25" customHeight="1" s="1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4.25" customHeight="1" s="1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4.25" customHeight="1" s="1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A2:R2"/>
    <mergeCell ref="A1:R1"/>
  </mergeCells>
  <conditionalFormatting sqref="G3:G1000">
    <cfRule type="cellIs" priority="1" operator="equal" dxfId="2">
      <formula>"Critical"</formula>
    </cfRule>
    <cfRule type="cellIs" priority="2" operator="equal" dxfId="2">
      <formula>"High"</formula>
    </cfRule>
    <cfRule type="cellIs" priority="3" operator="equal" dxfId="1">
      <formula>"Medium"</formula>
    </cfRule>
    <cfRule type="cellIs" priority="4" operator="equal" dxfId="0">
      <formula>"Low"</formula>
    </cfRule>
    <cfRule type="cellIs" priority="5" operator="equal" dxfId="4">
      <formula>"Info"</formula>
    </cfRule>
  </conditionalFormatting>
  <conditionalFormatting sqref="H3:H1000">
    <cfRule type="cellIs" priority="6" operator="equal" dxfId="2">
      <formula>"Critical"</formula>
    </cfRule>
    <cfRule type="cellIs" priority="7" operator="equal" dxfId="2">
      <formula>"High"</formula>
    </cfRule>
    <cfRule type="cellIs" priority="8" operator="equal" dxfId="1">
      <formula>"Medium"</formula>
    </cfRule>
    <cfRule type="cellIs" priority="9" operator="equal" dxfId="0">
      <formula>"Low"</formula>
    </cfRule>
  </conditionalFormatting>
  <conditionalFormatting sqref="N3:N1000">
    <cfRule type="cellIs" priority="10" operator="equal" dxfId="0">
      <formula>"Done"</formula>
    </cfRule>
    <cfRule type="cellIs" priority="11" operator="equal" dxfId="0">
      <formula>"Completed"</formula>
    </cfRule>
    <cfRule type="cellIs" priority="12" operator="equal" dxfId="0">
      <formula>"Closed"</formula>
    </cfRule>
    <cfRule type="cellIs" priority="13" operator="equal" dxfId="0">
      <formula>"Fixed"</formula>
    </cfRule>
    <cfRule type="cellIs" priority="14" operator="equal" dxfId="0">
      <formula>"Approved"</formula>
    </cfRule>
    <cfRule type="cellIs" priority="15" operator="equal" dxfId="1">
      <formula>"In Progress"</formula>
    </cfRule>
    <cfRule type="cellIs" priority="16" operator="equal" dxfId="2">
      <formula>"Open"</formula>
    </cfRule>
    <cfRule type="cellIs" priority="17" operator="equal" dxfId="1">
      <formula>"Pending"</formula>
    </cfRule>
    <cfRule type="cellIs" priority="18" operator="equal" dxfId="2">
      <formula>"Blocked"</formula>
    </cfRule>
    <cfRule type="cellIs" priority="19" operator="equal" dxfId="3">
      <formula>"Cancelled"</formula>
    </cfRule>
    <cfRule type="cellIs" priority="20" operator="equal" dxfId="2">
      <formula>"Rejected"</formula>
    </cfRule>
    <cfRule type="cellIs" priority="21" operator="equal" dxfId="4">
      <formula>"Submitted"</formula>
    </cfRule>
  </conditionalFormatting>
  <dataValidations count="4">
    <dataValidation sqref="N3:N300" showDropDown="0" showInputMessage="0" showErrorMessage="0" allowBlank="1" type="list">
      <formula1>"Pending,Open,In Progress,Fixed,Closed,Rejected"</formula1>
    </dataValidation>
    <dataValidation sqref="I3:I300" showDropDown="0" showInputMessage="0" showErrorMessage="0" allowBlank="1" type="list">
      <formula1>"Review,Unit Test,Integration Test,System Test,UAT"</formula1>
    </dataValidation>
    <dataValidation sqref="G3:G300" showDropDown="0" showInputMessage="0" showErrorMessage="0" allowBlank="1" type="list">
      <formula1>"Critical,High,Medium,Low,Info"</formula1>
    </dataValidation>
    <dataValidation sqref="H3:H300" showDropDown="0" showInputMessage="0" showErrorMessage="0" allowBlank="1" type="list">
      <formula1>"Critical,High,Medium,Low"</formula1>
    </dataValidation>
  </dataValidations>
  <pageMargins left="0.75" right="0.75" top="1" bottom="1" header="0" footer="0"/>
  <pageSetup orientation="landscape"/>
</worksheet>
</file>

<file path=xl/worksheets/sheet7.xml><?xml version="1.0" encoding="utf-8"?>
<worksheet xmlns="http://schemas.openxmlformats.org/spreadsheetml/2006/main">
  <sheetPr>
    <tabColor rgb="FF5C3292"/>
    <outlinePr summaryBelow="1" summaryRight="1"/>
    <pageSetUpPr/>
  </sheetPr>
  <dimension ref="A1:Z1000"/>
  <sheetViews>
    <sheetView showGridLines="0" workbookViewId="0">
      <pane ySplit="4" topLeftCell="A5" activePane="bottomLeft" state="frozen"/>
      <selection pane="bottomLeft" activeCell="B6" sqref="B6"/>
    </sheetView>
  </sheetViews>
  <sheetFormatPr baseColWidth="8" defaultColWidth="14.43" defaultRowHeight="15" customHeight="1"/>
  <cols>
    <col width="6.86" customWidth="1" style="118" min="1" max="1"/>
    <col width="13.71" customWidth="1" style="118" min="2" max="2"/>
    <col width="41.14" customWidth="1" style="118" min="3" max="3"/>
    <col width="18.29" customWidth="1" style="118" min="4" max="4"/>
    <col width="11.43" customWidth="1" style="118" min="5" max="5"/>
    <col width="32" customWidth="1" style="118" min="6" max="6"/>
    <col width="16" customWidth="1" style="118" min="7" max="8"/>
    <col width="13.71" customWidth="1" style="118" min="9" max="9"/>
    <col width="36.57" customWidth="1" style="118" min="10" max="10"/>
    <col width="13.71" customWidth="1" style="118" min="11" max="12"/>
    <col width="22.86" customWidth="1" style="118" min="13" max="13"/>
    <col width="10" customWidth="1" style="118" min="14" max="26"/>
  </cols>
  <sheetData>
    <row r="1" ht="27.75" customHeight="1" s="118">
      <c r="A1" s="3" t="inlineStr">
        <is>
          <t>Issues — Project Issues &amp; Risk Events Log</t>
        </is>
      </c>
      <c r="N1" s="1" t="n"/>
      <c r="O1" s="1" t="n"/>
      <c r="P1" s="1" t="n"/>
      <c r="Q1" s="1" t="n"/>
      <c r="R1" s="1" t="n"/>
      <c r="S1" s="1" t="n"/>
      <c r="T1" s="1" t="n"/>
      <c r="U1" s="1" t="n"/>
      <c r="V1" s="1" t="n"/>
      <c r="W1" s="1" t="n"/>
      <c r="X1" s="1" t="n"/>
      <c r="Y1" s="1" t="n"/>
      <c r="Z1" s="1" t="n"/>
    </row>
    <row r="2" ht="15.75" customHeight="1" s="118">
      <c r="A2" s="6" t="inlineStr">
        <is>
          <t>Issues = problems that have already occurred  ·  Risks = problems that might occur (see Risks sheet)  ·  Category: Technical / Process / Resource / Scope / External</t>
        </is>
      </c>
      <c r="N2" s="1" t="n"/>
      <c r="O2" s="1" t="n"/>
      <c r="P2" s="1" t="n"/>
      <c r="Q2" s="1" t="n"/>
      <c r="R2" s="1" t="n"/>
      <c r="S2" s="1" t="n"/>
      <c r="T2" s="1" t="n"/>
      <c r="U2" s="1" t="n"/>
      <c r="V2" s="1" t="n"/>
      <c r="W2" s="1" t="n"/>
      <c r="X2" s="1" t="n"/>
      <c r="Y2" s="1" t="n"/>
      <c r="Z2" s="1" t="n"/>
    </row>
    <row r="3" ht="6" customHeight="1" s="118">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5.5" customHeight="1" s="118">
      <c r="A4" s="99" t="inlineStr">
        <is>
          <t>#</t>
        </is>
      </c>
      <c r="B4" s="99" t="inlineStr">
        <is>
          <t>Date</t>
        </is>
      </c>
      <c r="C4" s="99" t="inlineStr">
        <is>
          <t>Issue Description</t>
        </is>
      </c>
      <c r="D4" s="99" t="inlineStr">
        <is>
          <t>Category</t>
        </is>
      </c>
      <c r="E4" s="99" t="inlineStr">
        <is>
          <t>Priority</t>
        </is>
      </c>
      <c r="F4" s="99" t="inlineStr">
        <is>
          <t>Impact (Scope / Effort / Timeline)</t>
        </is>
      </c>
      <c r="G4" s="99" t="inlineStr">
        <is>
          <t>Raised By</t>
        </is>
      </c>
      <c r="H4" s="99" t="inlineStr">
        <is>
          <t>Owner</t>
        </is>
      </c>
      <c r="I4" s="99" t="inlineStr">
        <is>
          <t>Due Date</t>
        </is>
      </c>
      <c r="J4" s="99" t="inlineStr">
        <is>
          <t>Resolution</t>
        </is>
      </c>
      <c r="K4" s="99" t="inlineStr">
        <is>
          <t>Status</t>
        </is>
      </c>
      <c r="L4" s="99" t="inlineStr">
        <is>
          <t>Closed Date</t>
        </is>
      </c>
      <c r="M4" s="99" t="inlineStr">
        <is>
          <t>Notes</t>
        </is>
      </c>
      <c r="N4" s="1" t="n"/>
      <c r="O4" s="1" t="n"/>
      <c r="P4" s="1" t="n"/>
      <c r="Q4" s="1" t="n"/>
      <c r="R4" s="1" t="n"/>
      <c r="S4" s="1" t="n"/>
      <c r="T4" s="1" t="n"/>
      <c r="U4" s="1" t="n"/>
      <c r="V4" s="1" t="n"/>
      <c r="W4" s="1" t="n"/>
      <c r="X4" s="1" t="n"/>
      <c r="Y4" s="1" t="n"/>
      <c r="Z4" s="1" t="n"/>
    </row>
    <row r="5" ht="31.5" customHeight="1" s="118">
      <c r="A5" s="100" t="inlineStr">
        <is>
          <t>I-001</t>
        </is>
      </c>
      <c r="B5" s="101" t="inlineStr">
        <is>
          <t>2026-07-11</t>
        </is>
      </c>
      <c r="C5" s="102" t="inlineStr">
        <is>
          <t>Fleet of 20 vehicles deadlocked. The planner validates a plan assuming every vehicle steps at the same time; in execution each vehicle moves at its own pace. A plan in which four vehicles each advance into the cell the next one is leaving passes that lockstep check, but at run time every vehicle waits for the one ahead to physically clear its cell. With no empty cell anywhere in the ring, none can move first and all four wait forever.</t>
        </is>
      </c>
      <c r="D5" s="101" t="inlineStr">
        <is>
          <t>Technical</t>
        </is>
      </c>
      <c r="E5" s="94" t="inlineStr">
        <is>
          <t>Critical</t>
        </is>
      </c>
      <c r="F5" s="103" t="inlineStr">
        <is>
          <t>Roughly one run in six froze the entire fleet; no scenario above 20 vehicles could be demonstrated.</t>
        </is>
      </c>
      <c r="G5" s="103" t="inlineStr">
        <is>
          <t>HungPV</t>
        </is>
      </c>
      <c r="H5" s="103" t="inlineStr">
        <is>
          <t>HungPV</t>
        </is>
      </c>
      <c r="I5" s="104" t="n"/>
      <c r="J5" s="103" t="inlineStr">
        <is>
          <t>Added cycle detection over the action-dependency graph (hasAdgCycle) and gated plan acceptance on it (isExecutableAsync), applied both to the incumbent plan and to the return path. Enabled by default via fms.mapf.adgAcyclic. The 20-vehicle scenario then passed 6 of 6 runs.</t>
        </is>
      </c>
      <c r="K5" s="49" t="inlineStr">
        <is>
          <t>Closed</t>
        </is>
      </c>
      <c r="L5" s="101" t="inlineStr">
        <is>
          <t>2026-07-13</t>
        </is>
      </c>
      <c r="M5" s="103" t="inlineStr">
        <is>
          <t>The bounded node budget from I-002 was part of this fix, not a separate optimisation - without it the deadlock could not be reproduced reliably enough to diagnose.</t>
        </is>
      </c>
      <c r="N5" s="1" t="n"/>
      <c r="O5" s="1" t="n"/>
      <c r="P5" s="1" t="n"/>
      <c r="Q5" s="1" t="n"/>
      <c r="R5" s="1" t="n"/>
      <c r="S5" s="1" t="n"/>
      <c r="T5" s="1" t="n"/>
      <c r="U5" s="1" t="n"/>
      <c r="V5" s="1" t="n"/>
      <c r="W5" s="1" t="n"/>
      <c r="X5" s="1" t="n"/>
      <c r="Y5" s="1" t="n"/>
      <c r="Z5" s="1" t="n"/>
    </row>
    <row r="6" ht="19.5" customHeight="1" s="118">
      <c r="A6" s="100" t="inlineStr">
        <is>
          <t>I-002</t>
        </is>
      </c>
      <c r="B6" s="52" t="inlineStr">
        <is>
          <t>2026-07-13</t>
        </is>
      </c>
      <c r="C6" s="51" t="inlineStr">
        <is>
          <t>The same planning problem produced four different plans across eight runs. The solver keeps improving its plan until a wall-clock deadline and returns the best found so far, so machine load decides how many iterations fit and therefore which plan comes back.</t>
        </is>
      </c>
      <c r="D6" s="52" t="inlineStr">
        <is>
          <t>Technical</t>
        </is>
      </c>
      <c r="E6" s="94" t="inlineStr">
        <is>
          <t>High</t>
        </is>
      </c>
      <c r="F6" s="51" t="inlineStr">
        <is>
          <t>Regression results could not be trusted: a red test often passed on rerun, so no solver change could be judged by a before/after run.</t>
        </is>
      </c>
      <c r="G6" s="51" t="inlineStr">
        <is>
          <t>HungPV</t>
        </is>
      </c>
      <c r="H6" s="51" t="inlineStr">
        <is>
          <t>HungPV</t>
        </is>
      </c>
      <c r="I6" s="34" t="n"/>
      <c r="J6" s="51" t="inlineStr">
        <is>
          <t>Replaced the wall-clock cut-off with a fixed search-node budget of 200,000 nodes, making the solver deterministic for a given input. The 20-vehicle deadlock then reproduced on every run and could be traced to its root cause.</t>
        </is>
      </c>
      <c r="K6" s="49" t="inlineStr">
        <is>
          <t>Closed</t>
        </is>
      </c>
      <c r="L6" s="52" t="inlineStr">
        <is>
          <t>2026-07-13</t>
        </is>
      </c>
      <c r="M6" s="51" t="inlineStr">
        <is>
          <t>Suite runtime also dropped from 1m21s to 18s.</t>
        </is>
      </c>
      <c r="N6" s="1" t="n"/>
      <c r="O6" s="1" t="n"/>
      <c r="P6" s="1" t="n"/>
      <c r="Q6" s="1" t="n"/>
      <c r="R6" s="1" t="n"/>
      <c r="S6" s="1" t="n"/>
      <c r="T6" s="1" t="n"/>
      <c r="U6" s="1" t="n"/>
      <c r="V6" s="1" t="n"/>
      <c r="W6" s="1" t="n"/>
      <c r="X6" s="1" t="n"/>
      <c r="Y6" s="1" t="n"/>
      <c r="Z6" s="1" t="n"/>
    </row>
    <row r="7" ht="19.5" customHeight="1" s="118">
      <c r="A7" s="100" t="inlineStr">
        <is>
          <t>I-003</t>
        </is>
      </c>
      <c r="B7" s="101" t="inlineStr">
        <is>
          <t>2026-07-14</t>
        </is>
      </c>
      <c r="C7" s="103" t="inlineStr">
        <is>
          <t>Vehicles collided beyond the planning window. The planner only checks vehicles against each other inside a limited look-ahead window; past that window it appended each vehicle's remaining route to its goal with no mutual collision check at all.</t>
        </is>
      </c>
      <c r="D7" s="101" t="inlineStr">
        <is>
          <t>Technical</t>
        </is>
      </c>
      <c r="E7" s="94" t="inlineStr">
        <is>
          <t>Critical</t>
        </is>
      </c>
      <c r="F7" s="103" t="inlineStr">
        <is>
          <t>Every tail measured collided - 448 of 448 - and a fleet of 25 vehicles could not complete a run.</t>
        </is>
      </c>
      <c r="G7" s="103" t="inlineStr">
        <is>
          <t>HungPV</t>
        </is>
      </c>
      <c r="H7" s="103" t="inlineStr">
        <is>
          <t>HungPV</t>
        </is>
      </c>
      <c r="I7" s="104" t="n"/>
      <c r="J7" s="103" t="inlineStr">
        <is>
          <t>Three changes were required together: a fallback gate on the executable flag, restricting certification to the planning window (certifyWindowOnly), and parking idle vehicles off the running lanes. The full suite then passed 5 of 5.</t>
        </is>
      </c>
      <c r="K7" s="49" t="inlineStr">
        <is>
          <t>Closed</t>
        </is>
      </c>
      <c r="L7" s="101" t="inlineStr">
        <is>
          <t>2026-07-14</t>
        </is>
      </c>
      <c r="M7" s="103" t="inlineStr">
        <is>
          <t>certifyWindowOnly on its own made matters worse - 20 vehicles failed 3 of 3 runs until the fallback gate was also in place. A patch must not be judged while the change it depends on is missing.</t>
        </is>
      </c>
      <c r="N7" s="1" t="n"/>
      <c r="O7" s="1" t="n"/>
      <c r="P7" s="1" t="n"/>
      <c r="Q7" s="1" t="n"/>
      <c r="R7" s="1" t="n"/>
      <c r="S7" s="1" t="n"/>
      <c r="T7" s="1" t="n"/>
      <c r="U7" s="1" t="n"/>
      <c r="V7" s="1" t="n"/>
      <c r="W7" s="1" t="n"/>
      <c r="X7" s="1" t="n"/>
      <c r="Y7" s="1" t="n"/>
      <c r="Z7" s="1" t="n"/>
    </row>
    <row r="8" ht="19.5" customHeight="1" s="118">
      <c r="A8" s="100" t="inlineStr">
        <is>
          <t>I-004</t>
        </is>
      </c>
      <c r="B8" s="52" t="inlineStr">
        <is>
          <t>2026-07-11</t>
        </is>
      </c>
      <c r="C8" s="51" t="inlineStr">
        <is>
          <t>A frozen fleet never recovered on its own. Dispatching was triggered only by events such as an order arriving or a vehicle finishing a move. Once the whole fleet was stuck no event could fire, so dispatch was never called and nothing re-planned.</t>
        </is>
      </c>
      <c r="D8" s="52" t="inlineStr">
        <is>
          <t>Technical</t>
        </is>
      </c>
      <c r="E8" s="94" t="inlineStr">
        <is>
          <t>High</t>
        </is>
      </c>
      <c r="F8" s="51" t="inlineStr">
        <is>
          <t>A live log showed zero dispatch() calls across ten minutes; any deadlock was permanent rather than transient and needed a manual restart.</t>
        </is>
      </c>
      <c r="G8" s="51" t="inlineStr">
        <is>
          <t>HungPV</t>
        </is>
      </c>
      <c r="H8" s="51" t="inlineStr">
        <is>
          <t>HungPV</t>
        </is>
      </c>
      <c r="I8" s="34" t="n"/>
      <c r="J8" s="51" t="inlineStr">
        <is>
          <t>Added a one-second timer in FMSDispatcher that calls dispatch() whenever the planner is overdue, so recovery no longer depends on an event that will never arrive.</t>
        </is>
      </c>
      <c r="K8" s="49" t="inlineStr">
        <is>
          <t>Closed</t>
        </is>
      </c>
      <c r="L8" s="52" t="inlineStr">
        <is>
          <t>2026-07-11</t>
        </is>
      </c>
      <c r="M8" s="51" t="inlineStr">
        <is>
          <t>The timer task must catch Throwable - scheduleAtFixedRate stops forever, silently, if the task throws.</t>
        </is>
      </c>
      <c r="N8" s="1" t="n"/>
      <c r="O8" s="1" t="n"/>
      <c r="P8" s="1" t="n"/>
      <c r="Q8" s="1" t="n"/>
      <c r="R8" s="1" t="n"/>
      <c r="S8" s="1" t="n"/>
      <c r="T8" s="1" t="n"/>
      <c r="U8" s="1" t="n"/>
      <c r="V8" s="1" t="n"/>
      <c r="W8" s="1" t="n"/>
      <c r="X8" s="1" t="n"/>
      <c r="Y8" s="1" t="n"/>
      <c r="Z8" s="1" t="n"/>
    </row>
    <row r="9" ht="19.5" customHeight="1" s="118">
      <c r="A9" s="100" t="inlineStr">
        <is>
          <t>I-005</t>
        </is>
      </c>
      <c r="B9" s="101" t="inlineStr">
        <is>
          <t>2026-07-16</t>
        </is>
      </c>
      <c r="C9" s="103" t="inlineStr">
        <is>
          <t>Map uploads made through WES silently lost vehicle properties. The XML parser did not read &lt;property&gt; children of &lt;vehicle&gt;, so preferredAdapterClass and every vda5050 setting was dropped before the model reached the kernel. The kernel then attached the default loopback driver instead of the VDA5050 driver, with no error reported anywhere.</t>
        </is>
      </c>
      <c r="D9" s="101" t="inlineStr">
        <is>
          <t>Technical</t>
        </is>
      </c>
      <c r="E9" s="94" t="inlineStr">
        <is>
          <t>Critical</t>
        </is>
      </c>
      <c r="F9" s="103" t="inlineStr">
        <is>
          <t>The VDA5050 integration could never work through the WES upload path. Two days were spent looking for the fault in the MQTT layer and the vehicle simulator before the loss was traced to the upload path.</t>
        </is>
      </c>
      <c r="G9" s="103" t="inlineStr">
        <is>
          <t>HungPV</t>
        </is>
      </c>
      <c r="H9" s="103" t="inlineStr">
        <is>
          <t>HungPV</t>
        </is>
      </c>
      <c r="I9" s="104" t="n"/>
      <c r="J9" s="103" t="inlineStr">
        <is>
          <t>Added property to the parser's array tags and a properties field to the vehicle DTO. Verified end to end: uploading the VDA5050 map through WES now delivers all 9 properties to the kernel. 292 tests pass.</t>
        </is>
      </c>
      <c r="K9" s="94" t="inlineStr">
        <is>
          <t>Open</t>
        </is>
      </c>
      <c r="L9" s="104" t="n"/>
      <c r="M9" s="103" t="inlineStr">
        <is>
          <t>Remains open because properties of point, path and location elements are still dropped by the same parser - same defect class, not yet fixed.</t>
        </is>
      </c>
      <c r="N9" s="1" t="n"/>
      <c r="O9" s="1" t="n"/>
      <c r="P9" s="1" t="n"/>
      <c r="Q9" s="1" t="n"/>
      <c r="R9" s="1" t="n"/>
      <c r="S9" s="1" t="n"/>
      <c r="T9" s="1" t="n"/>
      <c r="U9" s="1" t="n"/>
      <c r="V9" s="1" t="n"/>
      <c r="W9" s="1" t="n"/>
      <c r="X9" s="1" t="n"/>
      <c r="Y9" s="1" t="n"/>
      <c r="Z9" s="1" t="n"/>
    </row>
    <row r="10" ht="19.5" customHeight="1" s="118">
      <c r="A10" s="100" t="inlineStr">
        <is>
          <t>I-006</t>
        </is>
      </c>
      <c r="B10" s="52" t="inlineStr">
        <is>
          <t>2026-07-17</t>
        </is>
      </c>
      <c r="C10" s="51" t="inlineStr">
        <is>
          <t>Vehicles oscillated back and forth instead of making progress. The anti-starvation mechanism raised a vehicle's priority only while it appeared stuck, and stuck was measured against the distance travelled since the previous step. A vehicle moving back and forth therefore kept resetting its own counter and never earned the boost, while a vehicle standing completely still did - so oscillating was rewarded over waiting.</t>
        </is>
      </c>
      <c r="D10" s="52" t="inlineStr">
        <is>
          <t>Technical</t>
        </is>
      </c>
      <c r="E10" s="94" t="inlineStr">
        <is>
          <t>High</t>
        </is>
      </c>
      <c r="F10" s="51" t="inlineStr">
        <is>
          <t>Longer completion times across the fleet and repeated resource-claim churn, worsening as fleet size grew.</t>
        </is>
      </c>
      <c r="G10" s="51" t="inlineStr">
        <is>
          <t>HungPV</t>
        </is>
      </c>
      <c r="H10" s="51" t="inlineStr">
        <is>
          <t>HungPV</t>
        </is>
      </c>
      <c r="I10" s="34" t="n"/>
      <c r="J10" s="51" t="inlineStr">
        <is>
          <t>Measured progress against the best distance achieved so far and against the current leg goal, rather than against the previous step. Measured result: 10 vehicles -15% ticks, 25 vehicles -40% ticks, claim churn -48% and -63%, solver failures 14 down to 8, suite 128 of 128 green.</t>
        </is>
      </c>
      <c r="K10" s="49" t="inlineStr">
        <is>
          <t>Closed</t>
        </is>
      </c>
      <c r="L10" s="52" t="inlineStr">
        <is>
          <t>2026-07-20</t>
        </is>
      </c>
      <c r="M10" s="51" t="inlineStr">
        <is>
          <t>The flips counter did not detect this fix (-2%) and must not be used as a health metric - it counts changes, not reversals.</t>
        </is>
      </c>
      <c r="N10" s="1" t="n"/>
      <c r="O10" s="1" t="n"/>
      <c r="P10" s="1" t="n"/>
      <c r="Q10" s="1" t="n"/>
      <c r="R10" s="1" t="n"/>
      <c r="S10" s="1" t="n"/>
      <c r="T10" s="1" t="n"/>
      <c r="U10" s="1" t="n"/>
      <c r="V10" s="1" t="n"/>
      <c r="W10" s="1" t="n"/>
      <c r="X10" s="1" t="n"/>
      <c r="Y10" s="1" t="n"/>
      <c r="Z10" s="1" t="n"/>
    </row>
    <row r="11" ht="19.5" customHeight="1" s="118">
      <c r="A11" s="100" t="inlineStr">
        <is>
          <t>I-007</t>
        </is>
      </c>
      <c r="B11" s="101" t="inlineStr">
        <is>
          <t>2026-07-13</t>
        </is>
      </c>
      <c r="C11" s="103" t="inlineStr">
        <is>
          <t>Vehicles stopped responding and had to be reset. When the resource claim held by the scheduler drifted out of step with the allocation actually being requested, the kernel rejected the request with an exception that killed the vehicle's command pump, leaving the vehicle alive but unable to accept any further movement.</t>
        </is>
      </c>
      <c r="D11" s="101" t="inlineStr">
        <is>
          <t>Technical</t>
        </is>
      </c>
      <c r="E11" s="49" t="inlineStr">
        <is>
          <t>Low</t>
        </is>
      </c>
      <c r="F11" s="103" t="inlineStr">
        <is>
          <t>Individual vehicles dropped out of service during a run until restarted.</t>
        </is>
      </c>
      <c r="G11" s="103" t="inlineStr">
        <is>
          <t>HungPV</t>
        </is>
      </c>
      <c r="H11" s="103" t="inlineStr">
        <is>
          <t>HungPV</t>
        </is>
      </c>
      <c r="I11" s="104" t="n"/>
      <c r="J11" s="103" t="inlineStr">
        <is>
          <t>The scheduler now re-syncs the claim before allocating: it locates the requested allocation on the claimed route and drops the stale prefix, so the rejected condition no longer arises. No exception handler was added - the cause was removed.</t>
        </is>
      </c>
      <c r="K11" s="49" t="inlineStr">
        <is>
          <t>Closed</t>
        </is>
      </c>
      <c r="L11" s="101" t="inlineStr">
        <is>
          <t>2026-07-13</t>
        </is>
      </c>
      <c r="M11" s="103" t="inlineStr">
        <is>
          <t>Residual: when the requested allocation is not on the claimed route at all, the repair re-claims it alone and look-ahead is lost until the next drive order update. Logged as a warning and self-recovering, but it degrades routing quality - watch it as fleet size grows.</t>
        </is>
      </c>
      <c r="N11" s="1" t="n"/>
      <c r="O11" s="1" t="n"/>
      <c r="P11" s="1" t="n"/>
      <c r="Q11" s="1" t="n"/>
      <c r="R11" s="1" t="n"/>
      <c r="S11" s="1" t="n"/>
      <c r="T11" s="1" t="n"/>
      <c r="U11" s="1" t="n"/>
      <c r="V11" s="1" t="n"/>
      <c r="W11" s="1" t="n"/>
      <c r="X11" s="1" t="n"/>
      <c r="Y11" s="1" t="n"/>
      <c r="Z11" s="1" t="n"/>
    </row>
    <row r="12" ht="19.5" customHeight="1" s="118">
      <c r="A12" s="100" t="inlineStr">
        <is>
          <t>I-008</t>
        </is>
      </c>
      <c r="B12" s="101" t="inlineStr">
        <is>
          <t>2026-07-28</t>
        </is>
      </c>
      <c r="C12" s="103" t="inlineStr">
        <is>
          <t>During live batches vehicles were repeatedly ordered onto park points that another vehicle already occupied. The order neither completed nor failed - openTCS applies no timeout to a transport order and never reassigns one pinned to a vehicle - so the vehicle waited at the adjacent point until an operator withdrew the order by hand.</t>
        </is>
      </c>
      <c r="D12" s="101" t="inlineStr">
        <is>
          <t>Technical</t>
        </is>
      </c>
      <c r="E12" s="94" t="inlineStr">
        <is>
          <t>High</t>
        </is>
      </c>
      <c r="F12" s="103" t="inlineStr">
        <is>
          <t>Fleet throughput degraded and manual intervention was required on every occurrence. No data loss.</t>
        </is>
      </c>
      <c r="G12" s="103" t="inlineStr">
        <is>
          <t>HungPV</t>
        </is>
      </c>
      <c r="H12" s="103" t="inlineStr">
        <is>
          <t>HungPV</t>
        </is>
      </c>
      <c r="I12" s="34" t="n"/>
      <c r="J12" s="103" t="inlineStr">
        <is>
          <t>Root-caused to the park-claim release rule (D-010) and to claims being lost on restart (D-011). Both fixed 2026-07-29; park orders fell from 214 to 4 per 80 deliveries.</t>
        </is>
      </c>
      <c r="K12" s="49" t="inlineStr">
        <is>
          <t>Closed</t>
        </is>
      </c>
      <c r="L12" s="101" t="inlineStr">
        <is>
          <t>2026-07-29</t>
        </is>
      </c>
      <c r="M12" s="103" t="inlineStr">
        <is>
          <t>Kernel behaviour confirmed by three controlled experiments against a live kernel, recorded in wes/report/park-claims-findings.md.</t>
        </is>
      </c>
      <c r="N12" s="1" t="n"/>
      <c r="O12" s="1" t="n"/>
      <c r="P12" s="1" t="n"/>
      <c r="Q12" s="1" t="n"/>
      <c r="R12" s="1" t="n"/>
      <c r="S12" s="1" t="n"/>
      <c r="T12" s="1" t="n"/>
      <c r="U12" s="1" t="n"/>
      <c r="V12" s="1" t="n"/>
      <c r="W12" s="1" t="n"/>
      <c r="X12" s="1" t="n"/>
      <c r="Y12" s="1" t="n"/>
      <c r="Z12" s="1" t="n"/>
    </row>
    <row r="13" ht="19.5" customHeight="1" s="118">
      <c r="A13" s="100" t="inlineStr">
        <is>
          <t>I-009</t>
        </is>
      </c>
      <c r="B13" s="104" t="n"/>
      <c r="C13" s="104" t="n"/>
      <c r="D13" s="104" t="n"/>
      <c r="E13" s="98" t="inlineStr">
        <is>
          <t>Medium</t>
        </is>
      </c>
      <c r="F13" s="104" t="n"/>
      <c r="G13" s="104" t="n"/>
      <c r="H13" s="104" t="n"/>
      <c r="I13" s="104" t="n"/>
      <c r="J13" s="104" t="n"/>
      <c r="K13" s="94" t="inlineStr">
        <is>
          <t>Open</t>
        </is>
      </c>
      <c r="L13" s="104" t="n"/>
      <c r="M13" s="104" t="n"/>
      <c r="N13" s="1" t="n"/>
      <c r="O13" s="1" t="n"/>
      <c r="P13" s="1" t="n"/>
      <c r="Q13" s="1" t="n"/>
      <c r="R13" s="1" t="n"/>
      <c r="S13" s="1" t="n"/>
      <c r="T13" s="1" t="n"/>
      <c r="U13" s="1" t="n"/>
      <c r="V13" s="1" t="n"/>
      <c r="W13" s="1" t="n"/>
      <c r="X13" s="1" t="n"/>
      <c r="Y13" s="1" t="n"/>
      <c r="Z13" s="1" t="n"/>
    </row>
    <row r="14" ht="19.5" customHeight="1" s="118">
      <c r="A14" s="100" t="inlineStr">
        <is>
          <t>I-010</t>
        </is>
      </c>
      <c r="B14" s="34" t="n"/>
      <c r="C14" s="34" t="n"/>
      <c r="D14" s="34" t="n"/>
      <c r="E14" s="98" t="inlineStr">
        <is>
          <t>Medium</t>
        </is>
      </c>
      <c r="F14" s="34" t="n"/>
      <c r="G14" s="34" t="n"/>
      <c r="H14" s="34" t="n"/>
      <c r="I14" s="34" t="n"/>
      <c r="J14" s="34" t="n"/>
      <c r="K14" s="94" t="inlineStr">
        <is>
          <t>Open</t>
        </is>
      </c>
      <c r="L14" s="34" t="n"/>
      <c r="M14" s="34" t="n"/>
      <c r="N14" s="1" t="n"/>
      <c r="O14" s="1" t="n"/>
      <c r="P14" s="1" t="n"/>
      <c r="Q14" s="1" t="n"/>
      <c r="R14" s="1" t="n"/>
      <c r="S14" s="1" t="n"/>
      <c r="T14" s="1" t="n"/>
      <c r="U14" s="1" t="n"/>
      <c r="V14" s="1" t="n"/>
      <c r="W14" s="1" t="n"/>
      <c r="X14" s="1" t="n"/>
      <c r="Y14" s="1" t="n"/>
      <c r="Z14" s="1" t="n"/>
    </row>
    <row r="15" ht="19.5" customHeight="1" s="118">
      <c r="A15" s="100" t="inlineStr">
        <is>
          <t>I-011</t>
        </is>
      </c>
      <c r="B15" s="104" t="n"/>
      <c r="C15" s="104" t="n"/>
      <c r="D15" s="104" t="n"/>
      <c r="E15" s="98" t="inlineStr">
        <is>
          <t>Medium</t>
        </is>
      </c>
      <c r="F15" s="104" t="n"/>
      <c r="G15" s="104" t="n"/>
      <c r="H15" s="104" t="n"/>
      <c r="I15" s="104" t="n"/>
      <c r="J15" s="104" t="n"/>
      <c r="K15" s="94" t="inlineStr">
        <is>
          <t>Open</t>
        </is>
      </c>
      <c r="L15" s="104" t="n"/>
      <c r="M15" s="104" t="n"/>
      <c r="N15" s="1" t="n"/>
      <c r="O15" s="1" t="n"/>
      <c r="P15" s="1" t="n"/>
      <c r="Q15" s="1" t="n"/>
      <c r="R15" s="1" t="n"/>
      <c r="S15" s="1" t="n"/>
      <c r="T15" s="1" t="n"/>
      <c r="U15" s="1" t="n"/>
      <c r="V15" s="1" t="n"/>
      <c r="W15" s="1" t="n"/>
      <c r="X15" s="1" t="n"/>
      <c r="Y15" s="1" t="n"/>
      <c r="Z15" s="1" t="n"/>
    </row>
    <row r="16" ht="19.5" customHeight="1" s="118">
      <c r="A16" s="100" t="inlineStr">
        <is>
          <t>I-012</t>
        </is>
      </c>
      <c r="B16" s="34" t="n"/>
      <c r="C16" s="34" t="n"/>
      <c r="D16" s="34" t="n"/>
      <c r="E16" s="98" t="inlineStr">
        <is>
          <t>Medium</t>
        </is>
      </c>
      <c r="F16" s="34" t="n"/>
      <c r="G16" s="34" t="n"/>
      <c r="H16" s="34" t="n"/>
      <c r="I16" s="34" t="n"/>
      <c r="J16" s="34" t="n"/>
      <c r="K16" s="94" t="inlineStr">
        <is>
          <t>Open</t>
        </is>
      </c>
      <c r="L16" s="34" t="n"/>
      <c r="M16" s="34" t="n"/>
      <c r="N16" s="1" t="n"/>
      <c r="O16" s="1" t="n"/>
      <c r="P16" s="1" t="n"/>
      <c r="Q16" s="1" t="n"/>
      <c r="R16" s="1" t="n"/>
      <c r="S16" s="1" t="n"/>
      <c r="T16" s="1" t="n"/>
      <c r="U16" s="1" t="n"/>
      <c r="V16" s="1" t="n"/>
      <c r="W16" s="1" t="n"/>
      <c r="X16" s="1" t="n"/>
      <c r="Y16" s="1" t="n"/>
      <c r="Z16" s="1" t="n"/>
    </row>
    <row r="17" ht="19.5" customHeight="1" s="118">
      <c r="A17" s="100" t="inlineStr">
        <is>
          <t>I-013</t>
        </is>
      </c>
      <c r="B17" s="104" t="n"/>
      <c r="C17" s="104" t="n"/>
      <c r="D17" s="104" t="n"/>
      <c r="E17" s="98" t="inlineStr">
        <is>
          <t>Medium</t>
        </is>
      </c>
      <c r="F17" s="104" t="n"/>
      <c r="G17" s="104" t="n"/>
      <c r="H17" s="104" t="n"/>
      <c r="I17" s="104" t="n"/>
      <c r="J17" s="104" t="n"/>
      <c r="K17" s="94" t="inlineStr">
        <is>
          <t>Open</t>
        </is>
      </c>
      <c r="L17" s="104" t="n"/>
      <c r="M17" s="104" t="n"/>
      <c r="N17" s="1" t="n"/>
      <c r="O17" s="1" t="n"/>
      <c r="P17" s="1" t="n"/>
      <c r="Q17" s="1" t="n"/>
      <c r="R17" s="1" t="n"/>
      <c r="S17" s="1" t="n"/>
      <c r="T17" s="1" t="n"/>
      <c r="U17" s="1" t="n"/>
      <c r="V17" s="1" t="n"/>
      <c r="W17" s="1" t="n"/>
      <c r="X17" s="1" t="n"/>
      <c r="Y17" s="1" t="n"/>
      <c r="Z17" s="1" t="n"/>
    </row>
    <row r="18" ht="19.5" customHeight="1" s="118">
      <c r="A18" s="100" t="inlineStr">
        <is>
          <t>I-014</t>
        </is>
      </c>
      <c r="B18" s="34" t="n"/>
      <c r="C18" s="34" t="n"/>
      <c r="D18" s="34" t="n"/>
      <c r="E18" s="98" t="inlineStr">
        <is>
          <t>Medium</t>
        </is>
      </c>
      <c r="F18" s="34" t="n"/>
      <c r="G18" s="34" t="n"/>
      <c r="H18" s="34" t="n"/>
      <c r="I18" s="34" t="n"/>
      <c r="J18" s="34" t="n"/>
      <c r="K18" s="94" t="inlineStr">
        <is>
          <t>Open</t>
        </is>
      </c>
      <c r="L18" s="34" t="n"/>
      <c r="M18" s="34" t="n"/>
      <c r="N18" s="1" t="n"/>
      <c r="O18" s="1" t="n"/>
      <c r="P18" s="1" t="n"/>
      <c r="Q18" s="1" t="n"/>
      <c r="R18" s="1" t="n"/>
      <c r="S18" s="1" t="n"/>
      <c r="T18" s="1" t="n"/>
      <c r="U18" s="1" t="n"/>
      <c r="V18" s="1" t="n"/>
      <c r="W18" s="1" t="n"/>
      <c r="X18" s="1" t="n"/>
      <c r="Y18" s="1" t="n"/>
      <c r="Z18" s="1" t="n"/>
    </row>
    <row r="19" ht="19.5" customHeight="1" s="118">
      <c r="A19" s="100" t="inlineStr">
        <is>
          <t>I-015</t>
        </is>
      </c>
      <c r="B19" s="104" t="n"/>
      <c r="C19" s="104" t="n"/>
      <c r="D19" s="104" t="n"/>
      <c r="E19" s="98" t="inlineStr">
        <is>
          <t>Medium</t>
        </is>
      </c>
      <c r="F19" s="104" t="n"/>
      <c r="G19" s="104" t="n"/>
      <c r="H19" s="104" t="n"/>
      <c r="I19" s="104" t="n"/>
      <c r="J19" s="104" t="n"/>
      <c r="K19" s="94" t="inlineStr">
        <is>
          <t>Open</t>
        </is>
      </c>
      <c r="L19" s="104" t="n"/>
      <c r="M19" s="104" t="n"/>
      <c r="N19" s="1" t="n"/>
      <c r="O19" s="1" t="n"/>
      <c r="P19" s="1" t="n"/>
      <c r="Q19" s="1" t="n"/>
      <c r="R19" s="1" t="n"/>
      <c r="S19" s="1" t="n"/>
      <c r="T19" s="1" t="n"/>
      <c r="U19" s="1" t="n"/>
      <c r="V19" s="1" t="n"/>
      <c r="W19" s="1" t="n"/>
      <c r="X19" s="1" t="n"/>
      <c r="Y19" s="1" t="n"/>
      <c r="Z19" s="1" t="n"/>
    </row>
    <row r="20" ht="19.5" customHeight="1" s="118">
      <c r="A20" s="100" t="inlineStr">
        <is>
          <t>I-016</t>
        </is>
      </c>
      <c r="B20" s="34" t="n"/>
      <c r="C20" s="34" t="n"/>
      <c r="D20" s="34" t="n"/>
      <c r="E20" s="98" t="inlineStr">
        <is>
          <t>Medium</t>
        </is>
      </c>
      <c r="F20" s="34" t="n"/>
      <c r="G20" s="34" t="n"/>
      <c r="H20" s="34" t="n"/>
      <c r="I20" s="34" t="n"/>
      <c r="J20" s="34" t="n"/>
      <c r="K20" s="94" t="inlineStr">
        <is>
          <t>Open</t>
        </is>
      </c>
      <c r="L20" s="34" t="n"/>
      <c r="M20" s="34" t="n"/>
      <c r="N20" s="1" t="n"/>
      <c r="O20" s="1" t="n"/>
      <c r="P20" s="1" t="n"/>
      <c r="Q20" s="1" t="n"/>
      <c r="R20" s="1" t="n"/>
      <c r="S20" s="1" t="n"/>
      <c r="T20" s="1" t="n"/>
      <c r="U20" s="1" t="n"/>
      <c r="V20" s="1" t="n"/>
      <c r="W20" s="1" t="n"/>
      <c r="X20" s="1" t="n"/>
      <c r="Y20" s="1" t="n"/>
      <c r="Z20" s="1" t="n"/>
    </row>
    <row r="21" ht="19.5" customHeight="1" s="118">
      <c r="A21" s="100" t="inlineStr">
        <is>
          <t>I-017</t>
        </is>
      </c>
      <c r="B21" s="104" t="n"/>
      <c r="C21" s="104" t="n"/>
      <c r="D21" s="104" t="n"/>
      <c r="E21" s="98" t="inlineStr">
        <is>
          <t>Medium</t>
        </is>
      </c>
      <c r="F21" s="104" t="n"/>
      <c r="G21" s="104" t="n"/>
      <c r="H21" s="104" t="n"/>
      <c r="I21" s="104" t="n"/>
      <c r="J21" s="104" t="n"/>
      <c r="K21" s="94" t="inlineStr">
        <is>
          <t>Open</t>
        </is>
      </c>
      <c r="L21" s="104" t="n"/>
      <c r="M21" s="104" t="n"/>
      <c r="N21" s="1" t="n"/>
      <c r="O21" s="1" t="n"/>
      <c r="P21" s="1" t="n"/>
      <c r="Q21" s="1" t="n"/>
      <c r="R21" s="1" t="n"/>
      <c r="S21" s="1" t="n"/>
      <c r="T21" s="1" t="n"/>
      <c r="U21" s="1" t="n"/>
      <c r="V21" s="1" t="n"/>
      <c r="W21" s="1" t="n"/>
      <c r="X21" s="1" t="n"/>
      <c r="Y21" s="1" t="n"/>
      <c r="Z21" s="1" t="n"/>
    </row>
    <row r="22" ht="19.5" customHeight="1" s="118">
      <c r="A22" s="100" t="inlineStr">
        <is>
          <t>I-018</t>
        </is>
      </c>
      <c r="B22" s="34" t="n"/>
      <c r="C22" s="34" t="n"/>
      <c r="D22" s="34" t="n"/>
      <c r="E22" s="98" t="inlineStr">
        <is>
          <t>Medium</t>
        </is>
      </c>
      <c r="F22" s="34" t="n"/>
      <c r="G22" s="34" t="n"/>
      <c r="H22" s="34" t="n"/>
      <c r="I22" s="34" t="n"/>
      <c r="J22" s="34" t="n"/>
      <c r="K22" s="94" t="inlineStr">
        <is>
          <t>Open</t>
        </is>
      </c>
      <c r="L22" s="34" t="n"/>
      <c r="M22" s="34" t="n"/>
      <c r="N22" s="1" t="n"/>
      <c r="O22" s="1" t="n"/>
      <c r="P22" s="1" t="n"/>
      <c r="Q22" s="1" t="n"/>
      <c r="R22" s="1" t="n"/>
      <c r="S22" s="1" t="n"/>
      <c r="T22" s="1" t="n"/>
      <c r="U22" s="1" t="n"/>
      <c r="V22" s="1" t="n"/>
      <c r="W22" s="1" t="n"/>
      <c r="X22" s="1" t="n"/>
      <c r="Y22" s="1" t="n"/>
      <c r="Z22" s="1" t="n"/>
    </row>
    <row r="23" ht="19.5" customHeight="1" s="118">
      <c r="A23" s="100" t="inlineStr">
        <is>
          <t>I-019</t>
        </is>
      </c>
      <c r="B23" s="104" t="n"/>
      <c r="C23" s="104" t="n"/>
      <c r="D23" s="104" t="n"/>
      <c r="E23" s="98" t="inlineStr">
        <is>
          <t>Medium</t>
        </is>
      </c>
      <c r="F23" s="104" t="n"/>
      <c r="G23" s="104" t="n"/>
      <c r="H23" s="104" t="n"/>
      <c r="I23" s="104" t="n"/>
      <c r="J23" s="104" t="n"/>
      <c r="K23" s="94" t="inlineStr">
        <is>
          <t>Open</t>
        </is>
      </c>
      <c r="L23" s="104" t="n"/>
      <c r="M23" s="104" t="n"/>
      <c r="N23" s="1" t="n"/>
      <c r="O23" s="1" t="n"/>
      <c r="P23" s="1" t="n"/>
      <c r="Q23" s="1" t="n"/>
      <c r="R23" s="1" t="n"/>
      <c r="S23" s="1" t="n"/>
      <c r="T23" s="1" t="n"/>
      <c r="U23" s="1" t="n"/>
      <c r="V23" s="1" t="n"/>
      <c r="W23" s="1" t="n"/>
      <c r="X23" s="1" t="n"/>
      <c r="Y23" s="1" t="n"/>
      <c r="Z23" s="1" t="n"/>
    </row>
    <row r="24" ht="19.5" customHeight="1" s="118">
      <c r="A24" s="100" t="inlineStr">
        <is>
          <t>I-020</t>
        </is>
      </c>
      <c r="B24" s="34" t="n"/>
      <c r="C24" s="34" t="n"/>
      <c r="D24" s="34" t="n"/>
      <c r="E24" s="98" t="inlineStr">
        <is>
          <t>Medium</t>
        </is>
      </c>
      <c r="F24" s="34" t="n"/>
      <c r="G24" s="34" t="n"/>
      <c r="H24" s="34" t="n"/>
      <c r="I24" s="34" t="n"/>
      <c r="J24" s="34" t="n"/>
      <c r="K24" s="94" t="inlineStr">
        <is>
          <t>Open</t>
        </is>
      </c>
      <c r="L24" s="34" t="n"/>
      <c r="M24" s="34" t="n"/>
      <c r="N24" s="1" t="n"/>
      <c r="O24" s="1" t="n"/>
      <c r="P24" s="1" t="n"/>
      <c r="Q24" s="1" t="n"/>
      <c r="R24" s="1" t="n"/>
      <c r="S24" s="1" t="n"/>
      <c r="T24" s="1" t="n"/>
      <c r="U24" s="1" t="n"/>
      <c r="V24" s="1" t="n"/>
      <c r="W24" s="1" t="n"/>
      <c r="X24" s="1" t="n"/>
      <c r="Y24" s="1" t="n"/>
      <c r="Z24" s="1" t="n"/>
    </row>
    <row r="25" ht="14.25" customHeight="1" s="11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4.25" customHeight="1" s="11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4.25" customHeight="1" s="11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4.25" customHeight="1" s="11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4.25" customHeight="1" s="11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11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4.25" customHeight="1" s="11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4.25" customHeight="1" s="11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4.25" customHeight="1" s="11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4.25" customHeight="1" s="11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25" customHeight="1" s="11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1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1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1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11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11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11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11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11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11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1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1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1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1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1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1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1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1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1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1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1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1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1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1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1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1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1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1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1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1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1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1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1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1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1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1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1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1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1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1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1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1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1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1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1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1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1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1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1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1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1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1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1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1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1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1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1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1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1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1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1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1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1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1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1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1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1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1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1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1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1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1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1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1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1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1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1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1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1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1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1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1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1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1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1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1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1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1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1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1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1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1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1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1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1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1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1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1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1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1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1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1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1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1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1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1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1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1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1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1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1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1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1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1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1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1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1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1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1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1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1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1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1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1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1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1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1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1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1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1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1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1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1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1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1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1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1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1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1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1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1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1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1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1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1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1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1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1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1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1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1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1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1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1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1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1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1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1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1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1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1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1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1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1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1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118">
      <c r="A201" s="117" t="n"/>
      <c r="B201" s="117" t="n"/>
      <c r="C201" s="117" t="n"/>
      <c r="D201" s="117" t="n"/>
      <c r="E201" s="117" t="n"/>
      <c r="F201" s="117" t="n"/>
      <c r="G201" s="117" t="n"/>
      <c r="H201" s="117" t="n"/>
      <c r="I201" s="117" t="n"/>
      <c r="J201" s="117" t="n"/>
      <c r="K201" s="117" t="n"/>
      <c r="L201" s="117" t="n"/>
      <c r="M201" s="117" t="n"/>
      <c r="N201" s="117" t="n"/>
      <c r="O201" s="117" t="n"/>
      <c r="P201" s="117" t="n"/>
      <c r="Q201" s="117" t="n"/>
      <c r="R201" s="117" t="n"/>
      <c r="S201" s="117" t="n"/>
      <c r="T201" s="117" t="n"/>
      <c r="U201" s="117" t="n"/>
      <c r="V201" s="117" t="n"/>
      <c r="W201" s="117" t="n"/>
      <c r="X201" s="117" t="n"/>
      <c r="Y201" s="117" t="n"/>
      <c r="Z201" s="117" t="n"/>
    </row>
    <row r="202" ht="14.25" customHeight="1" s="118">
      <c r="A202" s="117" t="n"/>
      <c r="B202" s="117" t="n"/>
      <c r="C202" s="117" t="n"/>
      <c r="D202" s="117" t="n"/>
      <c r="E202" s="117" t="n"/>
      <c r="F202" s="117" t="n"/>
      <c r="G202" s="117" t="n"/>
      <c r="H202" s="117" t="n"/>
      <c r="I202" s="117" t="n"/>
      <c r="J202" s="117" t="n"/>
      <c r="K202" s="117" t="n"/>
      <c r="L202" s="117" t="n"/>
      <c r="M202" s="117" t="n"/>
      <c r="N202" s="117" t="n"/>
      <c r="O202" s="117" t="n"/>
      <c r="P202" s="117" t="n"/>
      <c r="Q202" s="117" t="n"/>
      <c r="R202" s="117" t="n"/>
      <c r="S202" s="117" t="n"/>
      <c r="T202" s="117" t="n"/>
      <c r="U202" s="117" t="n"/>
      <c r="V202" s="117" t="n"/>
      <c r="W202" s="117" t="n"/>
      <c r="X202" s="117" t="n"/>
      <c r="Y202" s="117" t="n"/>
      <c r="Z202" s="117" t="n"/>
    </row>
    <row r="203" ht="14.25" customHeight="1" s="118">
      <c r="A203" s="117" t="n"/>
      <c r="B203" s="117" t="n"/>
      <c r="C203" s="117" t="n"/>
      <c r="D203" s="117" t="n"/>
      <c r="E203" s="117" t="n"/>
      <c r="F203" s="117" t="n"/>
      <c r="G203" s="117" t="n"/>
      <c r="H203" s="117" t="n"/>
      <c r="I203" s="117" t="n"/>
      <c r="J203" s="117" t="n"/>
      <c r="K203" s="117" t="n"/>
      <c r="L203" s="117" t="n"/>
      <c r="M203" s="117" t="n"/>
      <c r="N203" s="117" t="n"/>
      <c r="O203" s="117" t="n"/>
      <c r="P203" s="117" t="n"/>
      <c r="Q203" s="117" t="n"/>
      <c r="R203" s="117" t="n"/>
      <c r="S203" s="117" t="n"/>
      <c r="T203" s="117" t="n"/>
      <c r="U203" s="117" t="n"/>
      <c r="V203" s="117" t="n"/>
      <c r="W203" s="117" t="n"/>
      <c r="X203" s="117" t="n"/>
      <c r="Y203" s="117" t="n"/>
      <c r="Z203" s="117" t="n"/>
    </row>
    <row r="204" ht="14.25" customHeight="1" s="118">
      <c r="A204" s="117" t="n"/>
      <c r="B204" s="117" t="n"/>
      <c r="C204" s="117" t="n"/>
      <c r="D204" s="117" t="n"/>
      <c r="E204" s="117" t="n"/>
      <c r="F204" s="117" t="n"/>
      <c r="G204" s="117" t="n"/>
      <c r="H204" s="117" t="n"/>
      <c r="I204" s="117" t="n"/>
      <c r="J204" s="117" t="n"/>
      <c r="K204" s="117" t="n"/>
      <c r="L204" s="117" t="n"/>
      <c r="M204" s="117" t="n"/>
      <c r="N204" s="117" t="n"/>
      <c r="O204" s="117" t="n"/>
      <c r="P204" s="117" t="n"/>
      <c r="Q204" s="117" t="n"/>
      <c r="R204" s="117" t="n"/>
      <c r="S204" s="117" t="n"/>
      <c r="T204" s="117" t="n"/>
      <c r="U204" s="117" t="n"/>
      <c r="V204" s="117" t="n"/>
      <c r="W204" s="117" t="n"/>
      <c r="X204" s="117" t="n"/>
      <c r="Y204" s="117" t="n"/>
      <c r="Z204" s="117" t="n"/>
    </row>
    <row r="205" ht="14.25" customHeight="1" s="118">
      <c r="A205" s="117" t="n"/>
      <c r="B205" s="117" t="n"/>
      <c r="C205" s="117" t="n"/>
      <c r="D205" s="117" t="n"/>
      <c r="E205" s="117" t="n"/>
      <c r="F205" s="117" t="n"/>
      <c r="G205" s="117" t="n"/>
      <c r="H205" s="117" t="n"/>
      <c r="I205" s="117" t="n"/>
      <c r="J205" s="117" t="n"/>
      <c r="K205" s="117" t="n"/>
      <c r="L205" s="117" t="n"/>
      <c r="M205" s="117" t="n"/>
      <c r="N205" s="117" t="n"/>
      <c r="O205" s="117" t="n"/>
      <c r="P205" s="117" t="n"/>
      <c r="Q205" s="117" t="n"/>
      <c r="R205" s="117" t="n"/>
      <c r="S205" s="117" t="n"/>
      <c r="T205" s="117" t="n"/>
      <c r="U205" s="117" t="n"/>
      <c r="V205" s="117" t="n"/>
      <c r="W205" s="117" t="n"/>
      <c r="X205" s="117" t="n"/>
      <c r="Y205" s="117" t="n"/>
      <c r="Z205" s="117" t="n"/>
    </row>
    <row r="206" ht="14.25" customHeight="1" s="118">
      <c r="A206" s="117" t="n"/>
      <c r="B206" s="117" t="n"/>
      <c r="C206" s="117" t="n"/>
      <c r="D206" s="117" t="n"/>
      <c r="E206" s="117" t="n"/>
      <c r="F206" s="117" t="n"/>
      <c r="G206" s="117" t="n"/>
      <c r="H206" s="117" t="n"/>
      <c r="I206" s="117" t="n"/>
      <c r="J206" s="117" t="n"/>
      <c r="K206" s="117" t="n"/>
      <c r="L206" s="117" t="n"/>
      <c r="M206" s="117" t="n"/>
      <c r="N206" s="117" t="n"/>
      <c r="O206" s="117" t="n"/>
      <c r="P206" s="117" t="n"/>
      <c r="Q206" s="117" t="n"/>
      <c r="R206" s="117" t="n"/>
      <c r="S206" s="117" t="n"/>
      <c r="T206" s="117" t="n"/>
      <c r="U206" s="117" t="n"/>
      <c r="V206" s="117" t="n"/>
      <c r="W206" s="117" t="n"/>
      <c r="X206" s="117" t="n"/>
      <c r="Y206" s="117" t="n"/>
      <c r="Z206" s="117" t="n"/>
    </row>
    <row r="207" ht="14.25" customHeight="1" s="118">
      <c r="A207" s="117" t="n"/>
      <c r="B207" s="117" t="n"/>
      <c r="C207" s="117" t="n"/>
      <c r="D207" s="117" t="n"/>
      <c r="E207" s="117" t="n"/>
      <c r="F207" s="117" t="n"/>
      <c r="G207" s="117" t="n"/>
      <c r="H207" s="117" t="n"/>
      <c r="I207" s="117" t="n"/>
      <c r="J207" s="117" t="n"/>
      <c r="K207" s="117" t="n"/>
      <c r="L207" s="117" t="n"/>
      <c r="M207" s="117" t="n"/>
      <c r="N207" s="117" t="n"/>
      <c r="O207" s="117" t="n"/>
      <c r="P207" s="117" t="n"/>
      <c r="Q207" s="117" t="n"/>
      <c r="R207" s="117" t="n"/>
      <c r="S207" s="117" t="n"/>
      <c r="T207" s="117" t="n"/>
      <c r="U207" s="117" t="n"/>
      <c r="V207" s="117" t="n"/>
      <c r="W207" s="117" t="n"/>
      <c r="X207" s="117" t="n"/>
      <c r="Y207" s="117" t="n"/>
      <c r="Z207" s="117" t="n"/>
    </row>
    <row r="208" ht="14.25" customHeight="1" s="118">
      <c r="A208" s="117" t="n"/>
      <c r="B208" s="117" t="n"/>
      <c r="C208" s="117" t="n"/>
      <c r="D208" s="117" t="n"/>
      <c r="E208" s="117" t="n"/>
      <c r="F208" s="117" t="n"/>
      <c r="G208" s="117" t="n"/>
      <c r="H208" s="117" t="n"/>
      <c r="I208" s="117" t="n"/>
      <c r="J208" s="117" t="n"/>
      <c r="K208" s="117" t="n"/>
      <c r="L208" s="117" t="n"/>
      <c r="M208" s="117" t="n"/>
      <c r="N208" s="117" t="n"/>
      <c r="O208" s="117" t="n"/>
      <c r="P208" s="117" t="n"/>
      <c r="Q208" s="117" t="n"/>
      <c r="R208" s="117" t="n"/>
      <c r="S208" s="117" t="n"/>
      <c r="T208" s="117" t="n"/>
      <c r="U208" s="117" t="n"/>
      <c r="V208" s="117" t="n"/>
      <c r="W208" s="117" t="n"/>
      <c r="X208" s="117" t="n"/>
      <c r="Y208" s="117" t="n"/>
      <c r="Z208" s="117" t="n"/>
    </row>
    <row r="209" ht="14.25" customHeight="1" s="118">
      <c r="A209" s="117" t="n"/>
      <c r="B209" s="117" t="n"/>
      <c r="C209" s="117" t="n"/>
      <c r="D209" s="117" t="n"/>
      <c r="E209" s="117" t="n"/>
      <c r="F209" s="117" t="n"/>
      <c r="G209" s="117" t="n"/>
      <c r="H209" s="117" t="n"/>
      <c r="I209" s="117" t="n"/>
      <c r="J209" s="117" t="n"/>
      <c r="K209" s="117" t="n"/>
      <c r="L209" s="117" t="n"/>
      <c r="M209" s="117" t="n"/>
      <c r="N209" s="117" t="n"/>
      <c r="O209" s="117" t="n"/>
      <c r="P209" s="117" t="n"/>
      <c r="Q209" s="117" t="n"/>
      <c r="R209" s="117" t="n"/>
      <c r="S209" s="117" t="n"/>
      <c r="T209" s="117" t="n"/>
      <c r="U209" s="117" t="n"/>
      <c r="V209" s="117" t="n"/>
      <c r="W209" s="117" t="n"/>
      <c r="X209" s="117" t="n"/>
      <c r="Y209" s="117" t="n"/>
      <c r="Z209" s="117" t="n"/>
    </row>
    <row r="210" ht="14.25" customHeight="1" s="118">
      <c r="A210" s="117" t="n"/>
      <c r="B210" s="117" t="n"/>
      <c r="C210" s="117" t="n"/>
      <c r="D210" s="117" t="n"/>
      <c r="E210" s="117" t="n"/>
      <c r="F210" s="117" t="n"/>
      <c r="G210" s="117" t="n"/>
      <c r="H210" s="117" t="n"/>
      <c r="I210" s="117" t="n"/>
      <c r="J210" s="117" t="n"/>
      <c r="K210" s="117" t="n"/>
      <c r="L210" s="117" t="n"/>
      <c r="M210" s="117" t="n"/>
      <c r="N210" s="117" t="n"/>
      <c r="O210" s="117" t="n"/>
      <c r="P210" s="117" t="n"/>
      <c r="Q210" s="117" t="n"/>
      <c r="R210" s="117" t="n"/>
      <c r="S210" s="117" t="n"/>
      <c r="T210" s="117" t="n"/>
      <c r="U210" s="117" t="n"/>
      <c r="V210" s="117" t="n"/>
      <c r="W210" s="117" t="n"/>
      <c r="X210" s="117" t="n"/>
      <c r="Y210" s="117" t="n"/>
      <c r="Z210" s="117" t="n"/>
    </row>
    <row r="211" ht="14.25" customHeight="1" s="118">
      <c r="A211" s="117" t="n"/>
      <c r="B211" s="117" t="n"/>
      <c r="C211" s="117" t="n"/>
      <c r="D211" s="117" t="n"/>
      <c r="E211" s="117" t="n"/>
      <c r="F211" s="117" t="n"/>
      <c r="G211" s="117" t="n"/>
      <c r="H211" s="117" t="n"/>
      <c r="I211" s="117" t="n"/>
      <c r="J211" s="117" t="n"/>
      <c r="K211" s="117" t="n"/>
      <c r="L211" s="117" t="n"/>
      <c r="M211" s="117" t="n"/>
      <c r="N211" s="117" t="n"/>
      <c r="O211" s="117" t="n"/>
      <c r="P211" s="117" t="n"/>
      <c r="Q211" s="117" t="n"/>
      <c r="R211" s="117" t="n"/>
      <c r="S211" s="117" t="n"/>
      <c r="T211" s="117" t="n"/>
      <c r="U211" s="117" t="n"/>
      <c r="V211" s="117" t="n"/>
      <c r="W211" s="117" t="n"/>
      <c r="X211" s="117" t="n"/>
      <c r="Y211" s="117" t="n"/>
      <c r="Z211" s="117" t="n"/>
    </row>
    <row r="212" ht="14.25" customHeight="1" s="118">
      <c r="A212" s="117" t="n"/>
      <c r="B212" s="117" t="n"/>
      <c r="C212" s="117" t="n"/>
      <c r="D212" s="117" t="n"/>
      <c r="E212" s="117" t="n"/>
      <c r="F212" s="117" t="n"/>
      <c r="G212" s="117" t="n"/>
      <c r="H212" s="117" t="n"/>
      <c r="I212" s="117" t="n"/>
      <c r="J212" s="117" t="n"/>
      <c r="K212" s="117" t="n"/>
      <c r="L212" s="117" t="n"/>
      <c r="M212" s="117" t="n"/>
      <c r="N212" s="117" t="n"/>
      <c r="O212" s="117" t="n"/>
      <c r="P212" s="117" t="n"/>
      <c r="Q212" s="117" t="n"/>
      <c r="R212" s="117" t="n"/>
      <c r="S212" s="117" t="n"/>
      <c r="T212" s="117" t="n"/>
      <c r="U212" s="117" t="n"/>
      <c r="V212" s="117" t="n"/>
      <c r="W212" s="117" t="n"/>
      <c r="X212" s="117" t="n"/>
      <c r="Y212" s="117" t="n"/>
      <c r="Z212" s="117" t="n"/>
    </row>
    <row r="213" ht="14.25" customHeight="1" s="118">
      <c r="A213" s="117" t="n"/>
      <c r="B213" s="117" t="n"/>
      <c r="C213" s="117" t="n"/>
      <c r="D213" s="117" t="n"/>
      <c r="E213" s="117" t="n"/>
      <c r="F213" s="117" t="n"/>
      <c r="G213" s="117" t="n"/>
      <c r="H213" s="117" t="n"/>
      <c r="I213" s="117" t="n"/>
      <c r="J213" s="117" t="n"/>
      <c r="K213" s="117" t="n"/>
      <c r="L213" s="117" t="n"/>
      <c r="M213" s="117" t="n"/>
      <c r="N213" s="117" t="n"/>
      <c r="O213" s="117" t="n"/>
      <c r="P213" s="117" t="n"/>
      <c r="Q213" s="117" t="n"/>
      <c r="R213" s="117" t="n"/>
      <c r="S213" s="117" t="n"/>
      <c r="T213" s="117" t="n"/>
      <c r="U213" s="117" t="n"/>
      <c r="V213" s="117" t="n"/>
      <c r="W213" s="117" t="n"/>
      <c r="X213" s="117" t="n"/>
      <c r="Y213" s="117" t="n"/>
      <c r="Z213" s="117" t="n"/>
    </row>
    <row r="214" ht="14.25" customHeight="1" s="118">
      <c r="A214" s="117" t="n"/>
      <c r="B214" s="117" t="n"/>
      <c r="C214" s="117" t="n"/>
      <c r="D214" s="117" t="n"/>
      <c r="E214" s="117" t="n"/>
      <c r="F214" s="117" t="n"/>
      <c r="G214" s="117" t="n"/>
      <c r="H214" s="117" t="n"/>
      <c r="I214" s="117" t="n"/>
      <c r="J214" s="117" t="n"/>
      <c r="K214" s="117" t="n"/>
      <c r="L214" s="117" t="n"/>
      <c r="M214" s="117" t="n"/>
      <c r="N214" s="117" t="n"/>
      <c r="O214" s="117" t="n"/>
      <c r="P214" s="117" t="n"/>
      <c r="Q214" s="117" t="n"/>
      <c r="R214" s="117" t="n"/>
      <c r="S214" s="117" t="n"/>
      <c r="T214" s="117" t="n"/>
      <c r="U214" s="117" t="n"/>
      <c r="V214" s="117" t="n"/>
      <c r="W214" s="117" t="n"/>
      <c r="X214" s="117" t="n"/>
      <c r="Y214" s="117" t="n"/>
      <c r="Z214" s="117" t="n"/>
    </row>
    <row r="215" ht="14.25" customHeight="1" s="118">
      <c r="A215" s="117" t="n"/>
      <c r="B215" s="117" t="n"/>
      <c r="C215" s="117" t="n"/>
      <c r="D215" s="117" t="n"/>
      <c r="E215" s="117" t="n"/>
      <c r="F215" s="117" t="n"/>
      <c r="G215" s="117" t="n"/>
      <c r="H215" s="117" t="n"/>
      <c r="I215" s="117" t="n"/>
      <c r="J215" s="117" t="n"/>
      <c r="K215" s="117" t="n"/>
      <c r="L215" s="117" t="n"/>
      <c r="M215" s="117" t="n"/>
      <c r="N215" s="117" t="n"/>
      <c r="O215" s="117" t="n"/>
      <c r="P215" s="117" t="n"/>
      <c r="Q215" s="117" t="n"/>
      <c r="R215" s="117" t="n"/>
      <c r="S215" s="117" t="n"/>
      <c r="T215" s="117" t="n"/>
      <c r="U215" s="117" t="n"/>
      <c r="V215" s="117" t="n"/>
      <c r="W215" s="117" t="n"/>
      <c r="X215" s="117" t="n"/>
      <c r="Y215" s="117" t="n"/>
      <c r="Z215" s="117" t="n"/>
    </row>
    <row r="216" ht="14.25" customHeight="1" s="118">
      <c r="A216" s="117" t="n"/>
      <c r="B216" s="117" t="n"/>
      <c r="C216" s="117" t="n"/>
      <c r="D216" s="117" t="n"/>
      <c r="E216" s="117" t="n"/>
      <c r="F216" s="117" t="n"/>
      <c r="G216" s="117" t="n"/>
      <c r="H216" s="117" t="n"/>
      <c r="I216" s="117" t="n"/>
      <c r="J216" s="117" t="n"/>
      <c r="K216" s="117" t="n"/>
      <c r="L216" s="117" t="n"/>
      <c r="M216" s="117" t="n"/>
      <c r="N216" s="117" t="n"/>
      <c r="O216" s="117" t="n"/>
      <c r="P216" s="117" t="n"/>
      <c r="Q216" s="117" t="n"/>
      <c r="R216" s="117" t="n"/>
      <c r="S216" s="117" t="n"/>
      <c r="T216" s="117" t="n"/>
      <c r="U216" s="117" t="n"/>
      <c r="V216" s="117" t="n"/>
      <c r="W216" s="117" t="n"/>
      <c r="X216" s="117" t="n"/>
      <c r="Y216" s="117" t="n"/>
      <c r="Z216" s="117" t="n"/>
    </row>
    <row r="217" ht="14.25" customHeight="1" s="118">
      <c r="A217" s="117" t="n"/>
      <c r="B217" s="117" t="n"/>
      <c r="C217" s="117" t="n"/>
      <c r="D217" s="117" t="n"/>
      <c r="E217" s="117" t="n"/>
      <c r="F217" s="117" t="n"/>
      <c r="G217" s="117" t="n"/>
      <c r="H217" s="117" t="n"/>
      <c r="I217" s="117" t="n"/>
      <c r="J217" s="117" t="n"/>
      <c r="K217" s="117" t="n"/>
      <c r="L217" s="117" t="n"/>
      <c r="M217" s="117" t="n"/>
      <c r="N217" s="117" t="n"/>
      <c r="O217" s="117" t="n"/>
      <c r="P217" s="117" t="n"/>
      <c r="Q217" s="117" t="n"/>
      <c r="R217" s="117" t="n"/>
      <c r="S217" s="117" t="n"/>
      <c r="T217" s="117" t="n"/>
      <c r="U217" s="117" t="n"/>
      <c r="V217" s="117" t="n"/>
      <c r="W217" s="117" t="n"/>
      <c r="X217" s="117" t="n"/>
      <c r="Y217" s="117" t="n"/>
      <c r="Z217" s="117" t="n"/>
    </row>
    <row r="218" ht="14.25" customHeight="1" s="118">
      <c r="A218" s="117" t="n"/>
      <c r="B218" s="117" t="n"/>
      <c r="C218" s="117" t="n"/>
      <c r="D218" s="117" t="n"/>
      <c r="E218" s="117" t="n"/>
      <c r="F218" s="117" t="n"/>
      <c r="G218" s="117" t="n"/>
      <c r="H218" s="117" t="n"/>
      <c r="I218" s="117" t="n"/>
      <c r="J218" s="117" t="n"/>
      <c r="K218" s="117" t="n"/>
      <c r="L218" s="117" t="n"/>
      <c r="M218" s="117" t="n"/>
      <c r="N218" s="117" t="n"/>
      <c r="O218" s="117" t="n"/>
      <c r="P218" s="117" t="n"/>
      <c r="Q218" s="117" t="n"/>
      <c r="R218" s="117" t="n"/>
      <c r="S218" s="117" t="n"/>
      <c r="T218" s="117" t="n"/>
      <c r="U218" s="117" t="n"/>
      <c r="V218" s="117" t="n"/>
      <c r="W218" s="117" t="n"/>
      <c r="X218" s="117" t="n"/>
      <c r="Y218" s="117" t="n"/>
      <c r="Z218" s="117" t="n"/>
    </row>
    <row r="219" ht="14.25" customHeight="1" s="118">
      <c r="A219" s="117" t="n"/>
      <c r="B219" s="117" t="n"/>
      <c r="C219" s="117" t="n"/>
      <c r="D219" s="117" t="n"/>
      <c r="E219" s="117" t="n"/>
      <c r="F219" s="117" t="n"/>
      <c r="G219" s="117" t="n"/>
      <c r="H219" s="117" t="n"/>
      <c r="I219" s="117" t="n"/>
      <c r="J219" s="117" t="n"/>
      <c r="K219" s="117" t="n"/>
      <c r="L219" s="117" t="n"/>
      <c r="M219" s="117" t="n"/>
      <c r="N219" s="117" t="n"/>
      <c r="O219" s="117" t="n"/>
      <c r="P219" s="117" t="n"/>
      <c r="Q219" s="117" t="n"/>
      <c r="R219" s="117" t="n"/>
      <c r="S219" s="117" t="n"/>
      <c r="T219" s="117" t="n"/>
      <c r="U219" s="117" t="n"/>
      <c r="V219" s="117" t="n"/>
      <c r="W219" s="117" t="n"/>
      <c r="X219" s="117" t="n"/>
      <c r="Y219" s="117" t="n"/>
      <c r="Z219" s="117" t="n"/>
    </row>
    <row r="220" ht="14.25" customHeight="1" s="118">
      <c r="A220" s="117" t="n"/>
      <c r="B220" s="117" t="n"/>
      <c r="C220" s="117" t="n"/>
      <c r="D220" s="117" t="n"/>
      <c r="E220" s="117" t="n"/>
      <c r="F220" s="117" t="n"/>
      <c r="G220" s="117" t="n"/>
      <c r="H220" s="117" t="n"/>
      <c r="I220" s="117" t="n"/>
      <c r="J220" s="117" t="n"/>
      <c r="K220" s="117" t="n"/>
      <c r="L220" s="117" t="n"/>
      <c r="M220" s="117" t="n"/>
      <c r="N220" s="117" t="n"/>
      <c r="O220" s="117" t="n"/>
      <c r="P220" s="117" t="n"/>
      <c r="Q220" s="117" t="n"/>
      <c r="R220" s="117" t="n"/>
      <c r="S220" s="117" t="n"/>
      <c r="T220" s="117" t="n"/>
      <c r="U220" s="117" t="n"/>
      <c r="V220" s="117" t="n"/>
      <c r="W220" s="117" t="n"/>
      <c r="X220" s="117" t="n"/>
      <c r="Y220" s="117" t="n"/>
      <c r="Z220" s="117" t="n"/>
    </row>
    <row r="221" ht="14.25" customHeight="1" s="118">
      <c r="A221" s="117" t="n"/>
      <c r="B221" s="117" t="n"/>
      <c r="C221" s="117" t="n"/>
      <c r="D221" s="117" t="n"/>
      <c r="E221" s="117" t="n"/>
      <c r="F221" s="117" t="n"/>
      <c r="G221" s="117" t="n"/>
      <c r="H221" s="117" t="n"/>
      <c r="I221" s="117" t="n"/>
      <c r="J221" s="117" t="n"/>
      <c r="K221" s="117" t="n"/>
      <c r="L221" s="117" t="n"/>
      <c r="M221" s="117" t="n"/>
      <c r="N221" s="117" t="n"/>
      <c r="O221" s="117" t="n"/>
      <c r="P221" s="117" t="n"/>
      <c r="Q221" s="117" t="n"/>
      <c r="R221" s="117" t="n"/>
      <c r="S221" s="117" t="n"/>
      <c r="T221" s="117" t="n"/>
      <c r="U221" s="117" t="n"/>
      <c r="V221" s="117" t="n"/>
      <c r="W221" s="117" t="n"/>
      <c r="X221" s="117" t="n"/>
      <c r="Y221" s="117" t="n"/>
      <c r="Z221" s="117" t="n"/>
    </row>
    <row r="222" ht="14.25" customHeight="1" s="118">
      <c r="A222" s="117" t="n"/>
      <c r="B222" s="117" t="n"/>
      <c r="C222" s="117" t="n"/>
      <c r="D222" s="117" t="n"/>
      <c r="E222" s="117" t="n"/>
      <c r="F222" s="117" t="n"/>
      <c r="G222" s="117" t="n"/>
      <c r="H222" s="117" t="n"/>
      <c r="I222" s="117" t="n"/>
      <c r="J222" s="117" t="n"/>
      <c r="K222" s="117" t="n"/>
      <c r="L222" s="117" t="n"/>
      <c r="M222" s="117" t="n"/>
      <c r="N222" s="117" t="n"/>
      <c r="O222" s="117" t="n"/>
      <c r="P222" s="117" t="n"/>
      <c r="Q222" s="117" t="n"/>
      <c r="R222" s="117" t="n"/>
      <c r="S222" s="117" t="n"/>
      <c r="T222" s="117" t="n"/>
      <c r="U222" s="117" t="n"/>
      <c r="V222" s="117" t="n"/>
      <c r="W222" s="117" t="n"/>
      <c r="X222" s="117" t="n"/>
      <c r="Y222" s="117" t="n"/>
      <c r="Z222" s="117" t="n"/>
    </row>
    <row r="223" ht="14.25" customHeight="1" s="118">
      <c r="A223" s="117" t="n"/>
      <c r="B223" s="117" t="n"/>
      <c r="C223" s="117" t="n"/>
      <c r="D223" s="117" t="n"/>
      <c r="E223" s="117" t="n"/>
      <c r="F223" s="117" t="n"/>
      <c r="G223" s="117" t="n"/>
      <c r="H223" s="117" t="n"/>
      <c r="I223" s="117" t="n"/>
      <c r="J223" s="117" t="n"/>
      <c r="K223" s="117" t="n"/>
      <c r="L223" s="117" t="n"/>
      <c r="M223" s="117" t="n"/>
      <c r="N223" s="117" t="n"/>
      <c r="O223" s="117" t="n"/>
      <c r="P223" s="117" t="n"/>
      <c r="Q223" s="117" t="n"/>
      <c r="R223" s="117" t="n"/>
      <c r="S223" s="117" t="n"/>
      <c r="T223" s="117" t="n"/>
      <c r="U223" s="117" t="n"/>
      <c r="V223" s="117" t="n"/>
      <c r="W223" s="117" t="n"/>
      <c r="X223" s="117" t="n"/>
      <c r="Y223" s="117" t="n"/>
      <c r="Z223" s="117" t="n"/>
    </row>
    <row r="224" ht="14.25" customHeight="1" s="118">
      <c r="A224" s="117" t="n"/>
      <c r="B224" s="117" t="n"/>
      <c r="C224" s="117" t="n"/>
      <c r="D224" s="117" t="n"/>
      <c r="E224" s="117" t="n"/>
      <c r="F224" s="117" t="n"/>
      <c r="G224" s="117" t="n"/>
      <c r="H224" s="117" t="n"/>
      <c r="I224" s="117" t="n"/>
      <c r="J224" s="117" t="n"/>
      <c r="K224" s="117" t="n"/>
      <c r="L224" s="117" t="n"/>
      <c r="M224" s="117" t="n"/>
      <c r="N224" s="117" t="n"/>
      <c r="O224" s="117" t="n"/>
      <c r="P224" s="117" t="n"/>
      <c r="Q224" s="117" t="n"/>
      <c r="R224" s="117" t="n"/>
      <c r="S224" s="117" t="n"/>
      <c r="T224" s="117" t="n"/>
      <c r="U224" s="117" t="n"/>
      <c r="V224" s="117" t="n"/>
      <c r="W224" s="117" t="n"/>
      <c r="X224" s="117" t="n"/>
      <c r="Y224" s="117" t="n"/>
      <c r="Z224" s="117" t="n"/>
    </row>
    <row r="225" ht="15.75" customHeight="1" s="1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A2:M2"/>
    <mergeCell ref="A1:M1"/>
  </mergeCells>
  <conditionalFormatting sqref="E5:E1000">
    <cfRule type="cellIs" priority="1" operator="equal" dxfId="2">
      <formula>"Critical"</formula>
    </cfRule>
    <cfRule type="cellIs" priority="2" operator="equal" dxfId="2">
      <formula>"High"</formula>
    </cfRule>
    <cfRule type="cellIs" priority="3" operator="equal" dxfId="1">
      <formula>"Medium"</formula>
    </cfRule>
    <cfRule type="cellIs" priority="4" operator="equal" dxfId="0">
      <formula>"Low"</formula>
    </cfRule>
  </conditionalFormatting>
  <conditionalFormatting sqref="K5:K1000">
    <cfRule type="cellIs" priority="5" operator="equal" dxfId="0">
      <formula>"Done"</formula>
    </cfRule>
    <cfRule type="cellIs" priority="6" operator="equal" dxfId="0">
      <formula>"Completed"</formula>
    </cfRule>
    <cfRule type="cellIs" priority="7" operator="equal" dxfId="0">
      <formula>"Closed"</formula>
    </cfRule>
    <cfRule type="cellIs" priority="8" operator="equal" dxfId="0">
      <formula>"Fixed"</formula>
    </cfRule>
    <cfRule type="cellIs" priority="9" operator="equal" dxfId="0">
      <formula>"Approved"</formula>
    </cfRule>
    <cfRule type="cellIs" priority="10" operator="equal" dxfId="1">
      <formula>"In Progress"</formula>
    </cfRule>
    <cfRule type="cellIs" priority="11" operator="equal" dxfId="2">
      <formula>"Open"</formula>
    </cfRule>
    <cfRule type="cellIs" priority="12" operator="equal" dxfId="1">
      <formula>"Pending"</formula>
    </cfRule>
    <cfRule type="cellIs" priority="13" operator="equal" dxfId="2">
      <formula>"Blocked"</formula>
    </cfRule>
    <cfRule type="cellIs" priority="14" operator="equal" dxfId="3">
      <formula>"Cancelled"</formula>
    </cfRule>
    <cfRule type="cellIs" priority="15" operator="equal" dxfId="2">
      <formula>"Rejected"</formula>
    </cfRule>
    <cfRule type="cellIs" priority="16" operator="equal" dxfId="4">
      <formula>"Submitted"</formula>
    </cfRule>
  </conditionalFormatting>
  <dataValidations count="3">
    <dataValidation sqref="K5:K200" showDropDown="0" showInputMessage="0" showErrorMessage="0" allowBlank="1" type="list">
      <formula1>"Open,In Progress,Closed,Deferred,Cancelled"</formula1>
    </dataValidation>
    <dataValidation sqref="D5:D200" showDropDown="0" showInputMessage="0" showErrorMessage="0" allowBlank="1" type="list">
      <formula1>"Technical,Process,Resource,Scope,External,Other"</formula1>
    </dataValidation>
    <dataValidation sqref="E5:E200" showDropDown="0" showInputMessage="0" showErrorMessage="0" allowBlank="1" type="list">
      <formula1>"Critical,High,Medium,Low"</formula1>
    </dataValidation>
  </dataValidations>
  <pageMargins left="0.75" right="0.75" top="1" bottom="1" header="0" footer="0"/>
  <pageSetup orientation="landscape"/>
</worksheet>
</file>

<file path=xl/worksheets/sheet8.xml><?xml version="1.0" encoding="utf-8"?>
<worksheet xmlns="http://schemas.openxmlformats.org/spreadsheetml/2006/main">
  <sheetPr>
    <tabColor rgb="FF843C0C"/>
    <outlinePr summaryBelow="1" summaryRight="1"/>
    <pageSetUpPr/>
  </sheetPr>
  <dimension ref="A1:Z1000"/>
  <sheetViews>
    <sheetView showGridLines="0" workbookViewId="0">
      <pane ySplit="3" topLeftCell="A4" activePane="bottomLeft" state="frozen"/>
      <selection pane="bottomLeft" activeCell="B5" sqref="B5"/>
    </sheetView>
  </sheetViews>
  <sheetFormatPr baseColWidth="8" defaultColWidth="14.43" defaultRowHeight="15" customHeight="1"/>
  <cols>
    <col width="6.86" customWidth="1" style="118" min="1" max="1"/>
    <col width="41.14" customWidth="1" style="118" min="2" max="2"/>
    <col width="18.29" customWidth="1" style="118" min="3" max="3"/>
    <col width="14.86" customWidth="1" style="118" min="4" max="4"/>
    <col width="11.43" customWidth="1" style="118" min="5" max="5"/>
    <col width="16" customWidth="1" style="118" min="6" max="6"/>
    <col width="38.86" customWidth="1" style="118" min="7" max="7"/>
    <col width="34.29" customWidth="1" style="118" min="8" max="8"/>
    <col width="16" customWidth="1" style="118" min="9" max="9"/>
    <col width="13.71" customWidth="1" style="118" min="10" max="10"/>
    <col width="16" customWidth="1" style="118" min="11" max="11"/>
    <col width="22.86" customWidth="1" style="118" min="12" max="12"/>
    <col width="10" customWidth="1" style="118" min="13" max="26"/>
  </cols>
  <sheetData>
    <row r="1" ht="14.25" customHeight="1" s="118">
      <c r="A1" s="3" t="inlineStr">
        <is>
          <t>Risks — Risk Register &amp; Mitigation Tracking</t>
        </is>
      </c>
      <c r="M1" s="1" t="n"/>
      <c r="N1" s="1" t="n"/>
      <c r="O1" s="1" t="n"/>
      <c r="P1" s="1" t="n"/>
      <c r="Q1" s="1" t="n"/>
      <c r="R1" s="1" t="n"/>
      <c r="S1" s="1" t="n"/>
      <c r="T1" s="1" t="n"/>
      <c r="U1" s="1" t="n"/>
      <c r="V1" s="1" t="n"/>
      <c r="W1" s="1" t="n"/>
      <c r="X1" s="1" t="n"/>
      <c r="Y1" s="1" t="n"/>
      <c r="Z1" s="1" t="n"/>
    </row>
    <row r="2" ht="14.25" customHeight="1" s="118">
      <c r="A2" s="6" t="inlineStr">
        <is>
          <t>Probability: High(3) / Medium(2) / Low(1)  ·  Impact: High(3) / Medium(2) / Low(1)  ·  Risk Score = P × I  ·  Score ≥ 6 = Critical; 4-5 = High; 2-3 = Medium; 1 = Low</t>
        </is>
      </c>
      <c r="M2" s="1" t="n"/>
      <c r="N2" s="1" t="n"/>
      <c r="O2" s="1" t="n"/>
      <c r="P2" s="1" t="n"/>
      <c r="Q2" s="1" t="n"/>
      <c r="R2" s="1" t="n"/>
      <c r="S2" s="1" t="n"/>
      <c r="T2" s="1" t="n"/>
      <c r="U2" s="1" t="n"/>
      <c r="V2" s="1" t="n"/>
      <c r="W2" s="1" t="n"/>
      <c r="X2" s="1" t="n"/>
      <c r="Y2" s="1" t="n"/>
      <c r="Z2" s="1" t="n"/>
    </row>
    <row r="3" ht="14.25" customHeight="1" s="118">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25" customHeight="1" s="118">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4.25" customHeight="1" s="118">
      <c r="A5" s="105" t="inlineStr">
        <is>
          <t>#</t>
        </is>
      </c>
      <c r="B5" s="105" t="inlineStr">
        <is>
          <t>Risk Description</t>
        </is>
      </c>
      <c r="C5" s="105" t="inlineStr">
        <is>
          <t>Category</t>
        </is>
      </c>
      <c r="D5" s="105" t="inlineStr">
        <is>
          <t>Probability</t>
        </is>
      </c>
      <c r="E5" s="105" t="inlineStr">
        <is>
          <t>Impact</t>
        </is>
      </c>
      <c r="F5" s="105" t="inlineStr">
        <is>
          <t>Risk Score (P×I)</t>
        </is>
      </c>
      <c r="G5" s="105" t="inlineStr">
        <is>
          <t>Mitigation Plan</t>
        </is>
      </c>
      <c r="H5" s="105" t="inlineStr">
        <is>
          <t>Contingency Plan</t>
        </is>
      </c>
      <c r="I5" s="105" t="inlineStr">
        <is>
          <t>Owner</t>
        </is>
      </c>
      <c r="J5" s="105" t="inlineStr">
        <is>
          <t>Due Date</t>
        </is>
      </c>
      <c r="K5" s="105" t="inlineStr">
        <is>
          <t>Status</t>
        </is>
      </c>
      <c r="L5" s="105" t="inlineStr">
        <is>
          <t>Notes</t>
        </is>
      </c>
      <c r="M5" s="1" t="n"/>
      <c r="N5" s="1" t="n"/>
      <c r="O5" s="1" t="n"/>
      <c r="P5" s="1" t="n"/>
      <c r="Q5" s="1" t="n"/>
      <c r="R5" s="1" t="n"/>
      <c r="S5" s="1" t="n"/>
      <c r="T5" s="1" t="n"/>
      <c r="U5" s="1" t="n"/>
      <c r="V5" s="1" t="n"/>
      <c r="W5" s="1" t="n"/>
      <c r="X5" s="1" t="n"/>
      <c r="Y5" s="1" t="n"/>
      <c r="Z5" s="1" t="n"/>
    </row>
    <row r="6" ht="14.25" customHeight="1" s="118">
      <c r="A6" s="106" t="inlineStr">
        <is>
          <t>R-001</t>
        </is>
      </c>
      <c r="B6" s="96" t="inlineStr">
        <is>
          <t>MAPF solver stability degrades as the fleet grows — the measured breaking point lies between 10 and 20 vehicles, and behaviour above 25 vehicles is untested</t>
        </is>
      </c>
      <c r="C6" s="96" t="inlineStr">
        <is>
          <t>Technical</t>
        </is>
      </c>
      <c r="D6" s="98" t="inlineStr">
        <is>
          <t>Medium</t>
        </is>
      </c>
      <c r="E6" s="98" t="inlineStr">
        <is>
          <t>High</t>
        </is>
      </c>
      <c r="F6" s="93" t="n">
        <v>6</v>
      </c>
      <c r="G6" s="96" t="inlineStr">
        <is>
          <t>Certify at 10 vehicles where the solver is deterministic; re-run the fleet-scale sweep after every solver change; keep the LaCAM node budget bounded (200k) so runs stay reproducible</t>
        </is>
      </c>
      <c r="H6" s="96" t="inlineStr">
        <is>
          <t>Cap fleet size for the demo and record the ceiling as a known limitation in the final report</t>
        </is>
      </c>
      <c r="I6" s="96" t="inlineStr">
        <is>
          <t>HungPV</t>
        </is>
      </c>
      <c r="J6" s="94" t="inlineStr">
        <is>
          <t>Week 11</t>
        </is>
      </c>
      <c r="K6" s="94" t="inlineStr">
        <is>
          <t>Open</t>
        </is>
      </c>
      <c r="L6" s="97" t="n"/>
      <c r="M6" s="1" t="n"/>
      <c r="N6" s="1" t="n"/>
      <c r="O6" s="1" t="n"/>
      <c r="P6" s="1" t="n"/>
      <c r="Q6" s="1" t="n"/>
      <c r="R6" s="1" t="n"/>
      <c r="S6" s="1" t="n"/>
      <c r="T6" s="1" t="n"/>
      <c r="U6" s="1" t="n"/>
      <c r="V6" s="1" t="n"/>
      <c r="W6" s="1" t="n"/>
      <c r="X6" s="1" t="n"/>
      <c r="Y6" s="1" t="n"/>
      <c r="Z6" s="1" t="n"/>
    </row>
    <row r="7" ht="14.25" customHeight="1" s="118">
      <c r="A7" s="106" t="inlineStr">
        <is>
          <t>R-002</t>
        </is>
      </c>
      <c r="B7" s="51" t="inlineStr">
        <is>
          <t>Key team member unavailable (illness, withdrawal) mid-project</t>
        </is>
      </c>
      <c r="C7" s="51" t="inlineStr">
        <is>
          <t>Resource</t>
        </is>
      </c>
      <c r="D7" s="98" t="inlineStr">
        <is>
          <t>Low</t>
        </is>
      </c>
      <c r="E7" s="98" t="inlineStr">
        <is>
          <t>High</t>
        </is>
      </c>
      <c r="F7" s="107" t="n">
        <v>3</v>
      </c>
      <c r="G7" s="51" t="inlineStr">
        <is>
          <t>Cross-train all members on critical modules; maintain shared knowledge base</t>
        </is>
      </c>
      <c r="H7" s="51" t="inlineStr">
        <is>
          <t>Reassign tasks; PM escalates to instructor if unresolvable</t>
        </is>
      </c>
      <c r="I7" s="51" t="inlineStr">
        <is>
          <t>PM</t>
        </is>
      </c>
      <c r="J7" s="34" t="n"/>
      <c r="K7" s="94" t="inlineStr">
        <is>
          <t>Open</t>
        </is>
      </c>
      <c r="L7" s="34" t="n"/>
      <c r="M7" s="1" t="n"/>
      <c r="N7" s="1" t="n"/>
      <c r="O7" s="1" t="n"/>
      <c r="P7" s="1" t="n"/>
      <c r="Q7" s="1" t="n"/>
      <c r="R7" s="1" t="n"/>
      <c r="S7" s="1" t="n"/>
      <c r="T7" s="1" t="n"/>
      <c r="U7" s="1" t="n"/>
      <c r="V7" s="1" t="n"/>
      <c r="W7" s="1" t="n"/>
      <c r="X7" s="1" t="n"/>
      <c r="Y7" s="1" t="n"/>
      <c r="Z7" s="1" t="n"/>
    </row>
    <row r="8" ht="14.25" customHeight="1" s="118">
      <c r="A8" s="106" t="inlineStr">
        <is>
          <t>R-003</t>
        </is>
      </c>
      <c r="B8" s="96" t="inlineStr">
        <is>
          <t>Requirements change after SRS v1.0 is approved (scope creep)</t>
        </is>
      </c>
      <c r="C8" s="96" t="inlineStr">
        <is>
          <t>Scope</t>
        </is>
      </c>
      <c r="D8" s="98" t="inlineStr">
        <is>
          <t>Medium</t>
        </is>
      </c>
      <c r="E8" s="98" t="inlineStr">
        <is>
          <t>Medium</t>
        </is>
      </c>
      <c r="F8" s="107" t="n">
        <v>4</v>
      </c>
      <c r="G8" s="96" t="inlineStr">
        <is>
          <t>Strict change control: all changes go through ChangeLog; no mid-sprint changes</t>
        </is>
      </c>
      <c r="H8" s="96" t="inlineStr">
        <is>
          <t>Negotiate scope with the supervisor; defer low-priority features to a later iteration</t>
        </is>
      </c>
      <c r="I8" s="96" t="inlineStr">
        <is>
          <t>PM</t>
        </is>
      </c>
      <c r="J8" s="97" t="n"/>
      <c r="K8" s="94" t="inlineStr">
        <is>
          <t>Open</t>
        </is>
      </c>
      <c r="L8" s="97" t="n"/>
      <c r="M8" s="1" t="n"/>
      <c r="N8" s="1" t="n"/>
      <c r="O8" s="1" t="n"/>
      <c r="P8" s="1" t="n"/>
      <c r="Q8" s="1" t="n"/>
      <c r="R8" s="1" t="n"/>
      <c r="S8" s="1" t="n"/>
      <c r="T8" s="1" t="n"/>
      <c r="U8" s="1" t="n"/>
      <c r="V8" s="1" t="n"/>
      <c r="W8" s="1" t="n"/>
      <c r="X8" s="1" t="n"/>
      <c r="Y8" s="1" t="n"/>
      <c r="Z8" s="1" t="n"/>
    </row>
    <row r="9" ht="14.25" customHeight="1" s="118">
      <c r="A9" s="106" t="inlineStr">
        <is>
          <t>R-004</t>
        </is>
      </c>
      <c r="B9" s="51" t="inlineStr">
        <is>
          <t>Stabilisation work (deadlock/ADG-acyclicity, commit horizon, claim resync, park-on-idle, VDA5050 wiring) is not described in any SRS or SDS section — engineering effort that cannot be credited at acceptance</t>
        </is>
      </c>
      <c r="C9" s="51" t="inlineStr">
        <is>
          <t>Technical</t>
        </is>
      </c>
      <c r="D9" s="98" t="inlineStr">
        <is>
          <t>High</t>
        </is>
      </c>
      <c r="E9" s="98" t="inlineStr">
        <is>
          <t>High</t>
        </is>
      </c>
      <c r="F9" s="107" t="n">
        <v>9</v>
      </c>
      <c r="G9" s="51" t="inlineStr">
        <is>
          <t>Write every added behaviour, config flag and failure mode back into the owning report section; fill SRS §4.1 External Interfaces (openTCS REST/SSE, VDA5050 MQTT), currently an empty table</t>
        </is>
      </c>
      <c r="H9" s="51" t="inlineStr">
        <is>
          <t>Publish a technical appendix in the Final Report covering the undocumented modules</t>
        </is>
      </c>
      <c r="I9" s="51" t="inlineStr">
        <is>
          <t>HungPV</t>
        </is>
      </c>
      <c r="J9" s="52" t="inlineStr">
        <is>
          <t>Week 8</t>
        </is>
      </c>
      <c r="K9" s="94" t="inlineStr">
        <is>
          <t>Open</t>
        </is>
      </c>
      <c r="L9" s="34" t="n"/>
      <c r="M9" s="1" t="n"/>
      <c r="N9" s="1" t="n"/>
      <c r="O9" s="1" t="n"/>
      <c r="P9" s="1" t="n"/>
      <c r="Q9" s="1" t="n"/>
      <c r="R9" s="1" t="n"/>
      <c r="S9" s="1" t="n"/>
      <c r="T9" s="1" t="n"/>
      <c r="U9" s="1" t="n"/>
      <c r="V9" s="1" t="n"/>
      <c r="W9" s="1" t="n"/>
      <c r="X9" s="1" t="n"/>
      <c r="Y9" s="1" t="n"/>
      <c r="Z9" s="1" t="n"/>
    </row>
    <row r="10" ht="14.25" customHeight="1" s="118">
      <c r="A10" s="106" t="inlineStr">
        <is>
          <t>R-005</t>
        </is>
      </c>
      <c r="B10" s="96" t="inlineStr">
        <is>
          <t>Battery flow has no acceptance path — the discharge timer in the AGV simulator is still commented out, so the operational and charging battery thresholds (WBS #6, #7) cannot be exercised</t>
        </is>
      </c>
      <c r="C10" s="96" t="inlineStr">
        <is>
          <t>Technical</t>
        </is>
      </c>
      <c r="D10" s="98" t="inlineStr">
        <is>
          <t>Medium</t>
        </is>
      </c>
      <c r="E10" s="98" t="inlineStr">
        <is>
          <t>Medium</t>
        </is>
      </c>
      <c r="F10" s="108" t="n">
        <v>4</v>
      </c>
      <c r="G10" s="96" t="inlineStr">
        <is>
          <t>Re-enable the discharge timer in AgvSimulator before Iteration 1 closes</t>
        </is>
      </c>
      <c r="H10" s="96" t="inlineStr">
        <is>
          <t>Drive battery state directly over MQTT to exercise the thresholds manually</t>
        </is>
      </c>
      <c r="I10" s="96" t="inlineStr">
        <is>
          <t>HungPV</t>
        </is>
      </c>
      <c r="J10" s="94" t="inlineStr">
        <is>
          <t>Week 7</t>
        </is>
      </c>
      <c r="K10" s="49" t="inlineStr">
        <is>
          <t>Closed</t>
        </is>
      </c>
      <c r="L10" s="97" t="inlineStr">
        <is>
          <t>Resolved 2026-07-23: the simulator now self-discharges (updateBattery) and forced charging was verified live (V01 charged from 71% to 100% at a CHARGE location). Mitigation completed.</t>
        </is>
      </c>
      <c r="M10" s="1" t="n"/>
      <c r="N10" s="1" t="n"/>
      <c r="O10" s="1" t="n"/>
      <c r="P10" s="1" t="n"/>
      <c r="Q10" s="1" t="n"/>
      <c r="R10" s="1" t="n"/>
      <c r="S10" s="1" t="n"/>
      <c r="T10" s="1" t="n"/>
      <c r="U10" s="1" t="n"/>
      <c r="V10" s="1" t="n"/>
      <c r="W10" s="1" t="n"/>
      <c r="X10" s="1" t="n"/>
      <c r="Y10" s="1" t="n"/>
      <c r="Z10" s="1" t="n"/>
    </row>
    <row r="11" ht="14.25" customHeight="1" s="118">
      <c r="A11" s="106" t="inlineStr">
        <is>
          <t>R-006</t>
        </is>
      </c>
      <c r="B11" s="51" t="inlineStr">
        <is>
          <t>UAT findings require significant rework, delaying go-live</t>
        </is>
      </c>
      <c r="C11" s="51" t="inlineStr">
        <is>
          <t>Quality</t>
        </is>
      </c>
      <c r="D11" s="98" t="inlineStr">
        <is>
          <t>Medium</t>
        </is>
      </c>
      <c r="E11" s="98" t="inlineStr">
        <is>
          <t>High</t>
        </is>
      </c>
      <c r="F11" s="93" t="n">
        <v>6</v>
      </c>
      <c r="G11" s="51" t="inlineStr">
        <is>
          <t>Demo working features to the supervisor every two weeks; keep UAT acceptance criteria visible from Iteration 1</t>
        </is>
      </c>
      <c r="H11" s="51" t="inlineStr">
        <is>
          <t>Prioritise P1 fixes; defer the rest and record them as known limitations</t>
        </is>
      </c>
      <c r="I11" s="51" t="inlineStr">
        <is>
          <t>PM</t>
        </is>
      </c>
      <c r="J11" s="52" t="inlineStr">
        <is>
          <t>Week 13</t>
        </is>
      </c>
      <c r="K11" s="94" t="inlineStr">
        <is>
          <t>Open</t>
        </is>
      </c>
      <c r="L11" s="34" t="n"/>
      <c r="M11" s="1" t="n"/>
      <c r="N11" s="1" t="n"/>
      <c r="O11" s="1" t="n"/>
      <c r="P11" s="1" t="n"/>
      <c r="Q11" s="1" t="n"/>
      <c r="R11" s="1" t="n"/>
      <c r="S11" s="1" t="n"/>
      <c r="T11" s="1" t="n"/>
      <c r="U11" s="1" t="n"/>
      <c r="V11" s="1" t="n"/>
      <c r="W11" s="1" t="n"/>
      <c r="X11" s="1" t="n"/>
      <c r="Y11" s="1" t="n"/>
      <c r="Z11" s="1" t="n"/>
    </row>
    <row r="12" ht="14.25" customHeight="1" s="118">
      <c r="A12" s="106" t="inlineStr">
        <is>
          <t>R-007</t>
        </is>
      </c>
      <c r="B12" s="51" t="inlineStr">
        <is>
          <t>The MAPF planner feeds every localised vehicle into the solver as a mobile agent, including vehicles the fleet has been told to ignore (TO_BE_RESPECTED) and vehicles that have lost communication. This is harmless today because a vehicle standing on its goal is treated as a hard obstacle and push-aside is not implemented; enabling push-aside or relocation would let the solver plan moves for a vehicle that cannot move, hanging every plan queued behind it.</t>
        </is>
      </c>
      <c r="C12" s="51" t="inlineStr">
        <is>
          <t>Technical</t>
        </is>
      </c>
      <c r="D12" s="98" t="inlineStr">
        <is>
          <t>Low</t>
        </is>
      </c>
      <c r="E12" s="98" t="inlineStr">
        <is>
          <t>High</t>
        </is>
      </c>
      <c r="F12" s="93" t="n">
        <v>6</v>
      </c>
      <c r="G12" s="51" t="inlineStr">
        <is>
          <t>Keep push-aside and relocation switched off until readFleet filters the agent list by mobility; before either is enabled, exclude ignored, disconnected and manually controlled vehicles from the solver input and pass them in as static obstacles instead.</t>
        </is>
      </c>
      <c r="H12" s="51" t="inlineStr">
        <is>
          <t>Fall back to routing around the immobile vehicle in static-obstacle mode and raise it to the operator for manual clearing.</t>
        </is>
      </c>
      <c r="I12" s="51" t="inlineStr">
        <is>
          <t>HungPV</t>
        </is>
      </c>
      <c r="J12" s="34" t="n"/>
      <c r="K12" s="94" t="inlineStr">
        <is>
          <t>Open</t>
        </is>
      </c>
      <c r="L12" s="51" t="inlineStr">
        <is>
          <t>Identified 2026-07-23 by code review; no incident observed. The exposure is dormant - it becomes live only when a push-aside or relocation feature is turned on.</t>
        </is>
      </c>
      <c r="M12" s="1" t="n"/>
      <c r="N12" s="1" t="n"/>
      <c r="O12" s="1" t="n"/>
      <c r="P12" s="1" t="n"/>
      <c r="Q12" s="1" t="n"/>
      <c r="R12" s="1" t="n"/>
      <c r="S12" s="1" t="n"/>
      <c r="T12" s="1" t="n"/>
      <c r="U12" s="1" t="n"/>
      <c r="V12" s="1" t="n"/>
      <c r="W12" s="1" t="n"/>
      <c r="X12" s="1" t="n"/>
      <c r="Y12" s="1" t="n"/>
      <c r="Z12" s="1" t="n"/>
    </row>
    <row r="13" ht="14.25" customHeight="1" s="118">
      <c r="A13" s="106" t="inlineStr">
        <is>
          <t>R-009</t>
        </is>
      </c>
      <c r="B13" s="51" t="inlineStr">
        <is>
          <t>The lane-safety guard on cargo creation only inspects transport tasks in PICKING_UP. A vehicle crossing a pickup lane under a PARK or CHARGE order falls outside the rule, so cargo can still be declared at a slot on that vehicle's route and the vehicle may drive into it. openTCS does not model cargo as a scheduler resource, so nothing at the kernel level prevents this.</t>
        </is>
      </c>
      <c r="C13" s="51" t="inlineStr">
        <is>
          <t>Technical</t>
        </is>
      </c>
      <c r="D13" s="98" t="inlineStr">
        <is>
          <t>Medium</t>
        </is>
      </c>
      <c r="E13" s="98" t="inlineStr">
        <is>
          <t>High</t>
        </is>
      </c>
      <c r="F13" s="93" t="n">
        <v>6</v>
      </c>
      <c r="G13" s="51" t="inlineStr">
        <is>
          <t>Verify on map v7-vda5050.xml whether park and charge routes actually cross pickup lanes. If they do, extend the guard to withdraw the transiting order as well - WES issues those orders itself, so the same withdraw path applies.</t>
        </is>
      </c>
      <c r="H13" s="51" t="inlineStr">
        <is>
          <t>Operator clears the lane by hand and the transiting order is withdrawn manually from the dashboard.</t>
        </is>
      </c>
      <c r="I13" s="51" t="inlineStr">
        <is>
          <t>HungPV</t>
        </is>
      </c>
      <c r="J13" s="34" t="n"/>
      <c r="K13" s="94" t="inlineStr">
        <is>
          <t>Open</t>
        </is>
      </c>
      <c r="L13" s="51" t="inlineStr">
        <is>
          <t>Identified 2026-07-28 while designing the lane-safety guard; accepted deliberately when the guard was narrowed from claimedResources to allocatedResources. claimedResources would have covered this case but blocks every lane along a planned route. Not observed in operation; the probability is unverified because the map has not been checked.</t>
        </is>
      </c>
      <c r="M13" s="1" t="n"/>
      <c r="N13" s="1" t="n"/>
      <c r="O13" s="1" t="n"/>
      <c r="P13" s="1" t="n"/>
      <c r="Q13" s="1" t="n"/>
      <c r="R13" s="1" t="n"/>
      <c r="S13" s="1" t="n"/>
      <c r="T13" s="1" t="n"/>
      <c r="U13" s="1" t="n"/>
      <c r="V13" s="1" t="n"/>
      <c r="W13" s="1" t="n"/>
      <c r="X13" s="1" t="n"/>
      <c r="Y13" s="1" t="n"/>
      <c r="Z13" s="1" t="n"/>
    </row>
    <row r="14" ht="14.25" customHeight="1" s="118">
      <c r="A14" s="106" t="inlineStr">
        <is>
          <t>R-010</t>
        </is>
      </c>
      <c r="B14" s="96" t="inlineStr">
        <is>
          <t>LaneSafetyService treats an unresolvable vehicle state as safe: a vehicle missing from the state store yields an empty allocated-resource list, which reads as 'outside the lane' and lets cargo creation proceed. A PICKING_UP task whose metadata carries no assigned vehicle name is skipped by the check yet is still preempted.</t>
        </is>
      </c>
      <c r="C14" s="96" t="inlineStr">
        <is>
          <t>Technical</t>
        </is>
      </c>
      <c r="D14" s="98" t="inlineStr">
        <is>
          <t>Low</t>
        </is>
      </c>
      <c r="E14" s="98" t="inlineStr">
        <is>
          <t>High</t>
        </is>
      </c>
      <c r="F14" s="93" t="n">
        <v>3</v>
      </c>
      <c r="G14" s="96" t="inlineStr">
        <is>
          <t>Refuse cargo creation when the vehicle state behind a deeper PICKING_UP task cannot be resolved, instead of falling through to the safe branch.</t>
        </is>
      </c>
      <c r="H14" s="96" t="inlineStr">
        <is>
          <t>Operator re-checks the lane visually before placing the box.</t>
        </is>
      </c>
      <c r="I14" s="96" t="inlineStr">
        <is>
          <t>HungPV</t>
        </is>
      </c>
      <c r="J14" s="97" t="n"/>
      <c r="K14" s="94" t="inlineStr">
        <is>
          <t>Open</t>
        </is>
      </c>
      <c r="L14" s="96" t="inlineStr">
        <is>
          <t>Identified 2026-07-28 by code review of lane-safety.service.ts, not by an incident. It contradicts the fail-closed principle applied elsewhere in the same guard, where an SSE disconnect falls back to a REST read rather than guessing.</t>
        </is>
      </c>
      <c r="M14" s="1" t="n"/>
      <c r="N14" s="1" t="n"/>
      <c r="O14" s="1" t="n"/>
      <c r="P14" s="1" t="n"/>
      <c r="Q14" s="1" t="n"/>
      <c r="R14" s="1" t="n"/>
      <c r="S14" s="1" t="n"/>
      <c r="T14" s="1" t="n"/>
      <c r="U14" s="1" t="n"/>
      <c r="V14" s="1" t="n"/>
      <c r="W14" s="1" t="n"/>
      <c r="X14" s="1" t="n"/>
      <c r="Y14" s="1" t="n"/>
      <c r="Z14" s="1" t="n"/>
    </row>
    <row r="15" ht="14.25" customHeight="1" s="118">
      <c r="A15" s="106" t="inlineStr">
        <is>
          <t>R-011</t>
        </is>
      </c>
      <c r="B15" s="96" t="inlineStr">
        <is>
          <t>The charge engine keeps its charge-slot claims only in process memory and treats an unreachable kernel as proof that a charge order has ended - the same two faults that produced the park-point defects D-010 and D-011, still unfixed for charging.</t>
        </is>
      </c>
      <c r="C15" s="96" t="inlineStr">
        <is>
          <t>Technical</t>
        </is>
      </c>
      <c r="D15" s="98" t="inlineStr">
        <is>
          <t>Medium</t>
        </is>
      </c>
      <c r="E15" s="98" t="inlineStr">
        <is>
          <t>Medium</t>
        </is>
      </c>
      <c r="F15" s="93" t="n">
        <v>4</v>
      </c>
      <c r="G15" s="96" t="inlineStr">
        <is>
          <t>Apply the park-claim fixes to chargeTargets: rebuild the map from the kernel on bootstrap, and use getTransportOrderStateStrict so an unreachable kernel keeps the claim instead of dropping it.</t>
        </is>
      </c>
      <c r="H15" s="96" t="inlineStr">
        <is>
          <t>Operator withdraws the duplicate charge order; the vehicle re-evaluates on the next dispatch cycle.</t>
        </is>
      </c>
      <c r="I15" s="96" t="inlineStr">
        <is>
          <t>HungPV</t>
        </is>
      </c>
      <c r="J15" s="34" t="n"/>
      <c r="K15" s="94" t="inlineStr">
        <is>
          <t>Open</t>
        </is>
      </c>
      <c r="L15" s="96" t="inlineStr">
        <is>
          <t>reconcileChargeTargets already compares the exact order name, which is why charging never developed the churn parking did. Only the restart and the fail-open branch remain.</t>
        </is>
      </c>
      <c r="M15" s="1" t="n"/>
      <c r="N15" s="1" t="n"/>
      <c r="O15" s="1" t="n"/>
      <c r="P15" s="1" t="n"/>
      <c r="Q15" s="1" t="n"/>
      <c r="R15" s="1" t="n"/>
      <c r="S15" s="1" t="n"/>
      <c r="T15" s="1" t="n"/>
      <c r="U15" s="1" t="n"/>
      <c r="V15" s="1" t="n"/>
      <c r="W15" s="1" t="n"/>
      <c r="X15" s="1" t="n"/>
      <c r="Y15" s="1" t="n"/>
      <c r="Z15" s="1" t="n"/>
    </row>
    <row r="16" ht="14.25" customHeight="1" s="118">
      <c r="A16" s="106" t="inlineStr">
        <is>
          <t>R-012</t>
        </is>
      </c>
      <c r="B16" s="97" t="n"/>
      <c r="C16" s="97" t="n"/>
      <c r="D16" s="98" t="inlineStr">
        <is>
          <t>Medium</t>
        </is>
      </c>
      <c r="E16" s="98" t="inlineStr">
        <is>
          <t>Medium</t>
        </is>
      </c>
      <c r="F16" s="115" t="n"/>
      <c r="G16" s="97" t="n"/>
      <c r="H16" s="97" t="n"/>
      <c r="I16" s="97" t="n"/>
      <c r="J16" s="97" t="n"/>
      <c r="K16" s="94" t="inlineStr">
        <is>
          <t>Open</t>
        </is>
      </c>
      <c r="L16" s="97" t="n"/>
      <c r="M16" s="1" t="n"/>
      <c r="N16" s="1" t="n"/>
      <c r="O16" s="1" t="n"/>
      <c r="P16" s="1" t="n"/>
      <c r="Q16" s="1" t="n"/>
      <c r="R16" s="1" t="n"/>
      <c r="S16" s="1" t="n"/>
      <c r="T16" s="1" t="n"/>
      <c r="U16" s="1" t="n"/>
      <c r="V16" s="1" t="n"/>
      <c r="W16" s="1" t="n"/>
      <c r="X16" s="1" t="n"/>
      <c r="Y16" s="1" t="n"/>
      <c r="Z16" s="1" t="n"/>
    </row>
    <row r="17" ht="14.25" customHeight="1" s="118">
      <c r="A17" s="106" t="inlineStr">
        <is>
          <t>R-013</t>
        </is>
      </c>
      <c r="B17" s="34" t="n"/>
      <c r="C17" s="34" t="n"/>
      <c r="D17" s="98" t="inlineStr">
        <is>
          <t>Medium</t>
        </is>
      </c>
      <c r="E17" s="98" t="inlineStr">
        <is>
          <t>Medium</t>
        </is>
      </c>
      <c r="F17" s="115" t="n"/>
      <c r="G17" s="34" t="n"/>
      <c r="H17" s="34" t="n"/>
      <c r="I17" s="34" t="n"/>
      <c r="J17" s="34" t="n"/>
      <c r="K17" s="94" t="inlineStr">
        <is>
          <t>Open</t>
        </is>
      </c>
      <c r="L17" s="34" t="n"/>
      <c r="M17" s="1" t="n"/>
      <c r="N17" s="1" t="n"/>
      <c r="O17" s="1" t="n"/>
      <c r="P17" s="1" t="n"/>
      <c r="Q17" s="1" t="n"/>
      <c r="R17" s="1" t="n"/>
      <c r="S17" s="1" t="n"/>
      <c r="T17" s="1" t="n"/>
      <c r="U17" s="1" t="n"/>
      <c r="V17" s="1" t="n"/>
      <c r="W17" s="1" t="n"/>
      <c r="X17" s="1" t="n"/>
      <c r="Y17" s="1" t="n"/>
      <c r="Z17" s="1" t="n"/>
    </row>
    <row r="18" ht="14.25" customHeight="1" s="118">
      <c r="A18" s="106" t="inlineStr">
        <is>
          <t>R-014</t>
        </is>
      </c>
      <c r="B18" s="97" t="n"/>
      <c r="C18" s="97" t="n"/>
      <c r="D18" s="98" t="inlineStr">
        <is>
          <t>Medium</t>
        </is>
      </c>
      <c r="E18" s="98" t="inlineStr">
        <is>
          <t>Medium</t>
        </is>
      </c>
      <c r="F18" s="115" t="n"/>
      <c r="G18" s="97" t="n"/>
      <c r="H18" s="97" t="n"/>
      <c r="I18" s="97" t="n"/>
      <c r="J18" s="97" t="n"/>
      <c r="K18" s="94" t="inlineStr">
        <is>
          <t>Open</t>
        </is>
      </c>
      <c r="L18" s="97" t="n"/>
      <c r="M18" s="1" t="n"/>
      <c r="N18" s="1" t="n"/>
      <c r="O18" s="1" t="n"/>
      <c r="P18" s="1" t="n"/>
      <c r="Q18" s="1" t="n"/>
      <c r="R18" s="1" t="n"/>
      <c r="S18" s="1" t="n"/>
      <c r="T18" s="1" t="n"/>
      <c r="U18" s="1" t="n"/>
      <c r="V18" s="1" t="n"/>
      <c r="W18" s="1" t="n"/>
      <c r="X18" s="1" t="n"/>
      <c r="Y18" s="1" t="n"/>
      <c r="Z18" s="1" t="n"/>
    </row>
    <row r="19" ht="14.25" customHeight="1" s="118">
      <c r="A19" s="106" t="inlineStr">
        <is>
          <t>R-015</t>
        </is>
      </c>
      <c r="B19" s="34" t="n"/>
      <c r="C19" s="34" t="n"/>
      <c r="D19" s="98" t="inlineStr">
        <is>
          <t>Medium</t>
        </is>
      </c>
      <c r="E19" s="98" t="inlineStr">
        <is>
          <t>Medium</t>
        </is>
      </c>
      <c r="F19" s="115" t="n"/>
      <c r="G19" s="34" t="n"/>
      <c r="H19" s="34" t="n"/>
      <c r="I19" s="34" t="n"/>
      <c r="J19" s="34" t="n"/>
      <c r="K19" s="94" t="inlineStr">
        <is>
          <t>Open</t>
        </is>
      </c>
      <c r="L19" s="34" t="n"/>
      <c r="M19" s="1" t="n"/>
      <c r="N19" s="1" t="n"/>
      <c r="O19" s="1" t="n"/>
      <c r="P19" s="1" t="n"/>
      <c r="Q19" s="1" t="n"/>
      <c r="R19" s="1" t="n"/>
      <c r="S19" s="1" t="n"/>
      <c r="T19" s="1" t="n"/>
      <c r="U19" s="1" t="n"/>
      <c r="V19" s="1" t="n"/>
      <c r="W19" s="1" t="n"/>
      <c r="X19" s="1" t="n"/>
      <c r="Y19" s="1" t="n"/>
      <c r="Z19" s="1" t="n"/>
    </row>
    <row r="20" ht="14.25" customHeight="1" s="118">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4.25" customHeight="1" s="118">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4.25" customHeight="1" s="118">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4.25" customHeight="1" s="118">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4.25" customHeight="1" s="118">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4.25" customHeight="1" s="11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4.25" customHeight="1" s="11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4.25" customHeight="1" s="11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4.25" customHeight="1" s="11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4.25" customHeight="1" s="11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11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4.25" customHeight="1" s="11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4.25" customHeight="1" s="11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4.25" customHeight="1" s="11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4.25" customHeight="1" s="11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25" customHeight="1" s="11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1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1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1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11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11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11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11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11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11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1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1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1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1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1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1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1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1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1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1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1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1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1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1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1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1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1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1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1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1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1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1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1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1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1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1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1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1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1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1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1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1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1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1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1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1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1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1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1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1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1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1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1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1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1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1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1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1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1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1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1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1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1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1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1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1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1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1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1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1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1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1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1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1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1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1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1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1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1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1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1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1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1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1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1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1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1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1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1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1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1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1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1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1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1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1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1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1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1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1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1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1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1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1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1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1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1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1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1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1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1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1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1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1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1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1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1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1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1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1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1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1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1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1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1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1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1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1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1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1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1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1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1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1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1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1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1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1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1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1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1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1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1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1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1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1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1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1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1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1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1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1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1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1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1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1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1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1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1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1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1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1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1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1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1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118">
      <c r="A201" s="117" t="n"/>
      <c r="B201" s="117" t="n"/>
      <c r="C201" s="117" t="n"/>
      <c r="D201" s="117" t="n"/>
      <c r="E201" s="117" t="n"/>
      <c r="F201" s="117" t="n"/>
      <c r="G201" s="117" t="n"/>
      <c r="H201" s="117" t="n"/>
      <c r="I201" s="117" t="n"/>
      <c r="J201" s="117" t="n"/>
      <c r="K201" s="117" t="n"/>
      <c r="L201" s="117" t="n"/>
      <c r="M201" s="117" t="n"/>
      <c r="N201" s="117" t="n"/>
      <c r="O201" s="117" t="n"/>
      <c r="P201" s="117" t="n"/>
      <c r="Q201" s="117" t="n"/>
      <c r="R201" s="117" t="n"/>
      <c r="S201" s="117" t="n"/>
      <c r="T201" s="117" t="n"/>
      <c r="U201" s="117" t="n"/>
      <c r="V201" s="117" t="n"/>
      <c r="W201" s="117" t="n"/>
      <c r="X201" s="117" t="n"/>
      <c r="Y201" s="117" t="n"/>
      <c r="Z201" s="117" t="n"/>
    </row>
    <row r="202" ht="14.25" customHeight="1" s="118">
      <c r="A202" s="117" t="n"/>
      <c r="B202" s="117" t="n"/>
      <c r="C202" s="117" t="n"/>
      <c r="D202" s="117" t="n"/>
      <c r="E202" s="117" t="n"/>
      <c r="F202" s="117" t="n"/>
      <c r="G202" s="117" t="n"/>
      <c r="H202" s="117" t="n"/>
      <c r="I202" s="117" t="n"/>
      <c r="J202" s="117" t="n"/>
      <c r="K202" s="117" t="n"/>
      <c r="L202" s="117" t="n"/>
      <c r="M202" s="117" t="n"/>
      <c r="N202" s="117" t="n"/>
      <c r="O202" s="117" t="n"/>
      <c r="P202" s="117" t="n"/>
      <c r="Q202" s="117" t="n"/>
      <c r="R202" s="117" t="n"/>
      <c r="S202" s="117" t="n"/>
      <c r="T202" s="117" t="n"/>
      <c r="U202" s="117" t="n"/>
      <c r="V202" s="117" t="n"/>
      <c r="W202" s="117" t="n"/>
      <c r="X202" s="117" t="n"/>
      <c r="Y202" s="117" t="n"/>
      <c r="Z202" s="117" t="n"/>
    </row>
    <row r="203" ht="14.25" customHeight="1" s="118">
      <c r="A203" s="117" t="n"/>
      <c r="B203" s="117" t="n"/>
      <c r="C203" s="117" t="n"/>
      <c r="D203" s="117" t="n"/>
      <c r="E203" s="117" t="n"/>
      <c r="F203" s="117" t="n"/>
      <c r="G203" s="117" t="n"/>
      <c r="H203" s="117" t="n"/>
      <c r="I203" s="117" t="n"/>
      <c r="J203" s="117" t="n"/>
      <c r="K203" s="117" t="n"/>
      <c r="L203" s="117" t="n"/>
      <c r="M203" s="117" t="n"/>
      <c r="N203" s="117" t="n"/>
      <c r="O203" s="117" t="n"/>
      <c r="P203" s="117" t="n"/>
      <c r="Q203" s="117" t="n"/>
      <c r="R203" s="117" t="n"/>
      <c r="S203" s="117" t="n"/>
      <c r="T203" s="117" t="n"/>
      <c r="U203" s="117" t="n"/>
      <c r="V203" s="117" t="n"/>
      <c r="W203" s="117" t="n"/>
      <c r="X203" s="117" t="n"/>
      <c r="Y203" s="117" t="n"/>
      <c r="Z203" s="117" t="n"/>
    </row>
    <row r="204" ht="14.25" customHeight="1" s="118">
      <c r="A204" s="117" t="n"/>
      <c r="B204" s="117" t="n"/>
      <c r="C204" s="117" t="n"/>
      <c r="D204" s="117" t="n"/>
      <c r="E204" s="117" t="n"/>
      <c r="F204" s="117" t="n"/>
      <c r="G204" s="117" t="n"/>
      <c r="H204" s="117" t="n"/>
      <c r="I204" s="117" t="n"/>
      <c r="J204" s="117" t="n"/>
      <c r="K204" s="117" t="n"/>
      <c r="L204" s="117" t="n"/>
      <c r="M204" s="117" t="n"/>
      <c r="N204" s="117" t="n"/>
      <c r="O204" s="117" t="n"/>
      <c r="P204" s="117" t="n"/>
      <c r="Q204" s="117" t="n"/>
      <c r="R204" s="117" t="n"/>
      <c r="S204" s="117" t="n"/>
      <c r="T204" s="117" t="n"/>
      <c r="U204" s="117" t="n"/>
      <c r="V204" s="117" t="n"/>
      <c r="W204" s="117" t="n"/>
      <c r="X204" s="117" t="n"/>
      <c r="Y204" s="117" t="n"/>
      <c r="Z204" s="117" t="n"/>
    </row>
    <row r="205" ht="14.25" customHeight="1" s="118">
      <c r="A205" s="117" t="n"/>
      <c r="B205" s="117" t="n"/>
      <c r="C205" s="117" t="n"/>
      <c r="D205" s="117" t="n"/>
      <c r="E205" s="117" t="n"/>
      <c r="F205" s="117" t="n"/>
      <c r="G205" s="117" t="n"/>
      <c r="H205" s="117" t="n"/>
      <c r="I205" s="117" t="n"/>
      <c r="J205" s="117" t="n"/>
      <c r="K205" s="117" t="n"/>
      <c r="L205" s="117" t="n"/>
      <c r="M205" s="117" t="n"/>
      <c r="N205" s="117" t="n"/>
      <c r="O205" s="117" t="n"/>
      <c r="P205" s="117" t="n"/>
      <c r="Q205" s="117" t="n"/>
      <c r="R205" s="117" t="n"/>
      <c r="S205" s="117" t="n"/>
      <c r="T205" s="117" t="n"/>
      <c r="U205" s="117" t="n"/>
      <c r="V205" s="117" t="n"/>
      <c r="W205" s="117" t="n"/>
      <c r="X205" s="117" t="n"/>
      <c r="Y205" s="117" t="n"/>
      <c r="Z205" s="117" t="n"/>
    </row>
    <row r="206" ht="14.25" customHeight="1" s="118">
      <c r="A206" s="117" t="n"/>
      <c r="B206" s="117" t="n"/>
      <c r="C206" s="117" t="n"/>
      <c r="D206" s="117" t="n"/>
      <c r="E206" s="117" t="n"/>
      <c r="F206" s="117" t="n"/>
      <c r="G206" s="117" t="n"/>
      <c r="H206" s="117" t="n"/>
      <c r="I206" s="117" t="n"/>
      <c r="J206" s="117" t="n"/>
      <c r="K206" s="117" t="n"/>
      <c r="L206" s="117" t="n"/>
      <c r="M206" s="117" t="n"/>
      <c r="N206" s="117" t="n"/>
      <c r="O206" s="117" t="n"/>
      <c r="P206" s="117" t="n"/>
      <c r="Q206" s="117" t="n"/>
      <c r="R206" s="117" t="n"/>
      <c r="S206" s="117" t="n"/>
      <c r="T206" s="117" t="n"/>
      <c r="U206" s="117" t="n"/>
      <c r="V206" s="117" t="n"/>
      <c r="W206" s="117" t="n"/>
      <c r="X206" s="117" t="n"/>
      <c r="Y206" s="117" t="n"/>
      <c r="Z206" s="117" t="n"/>
    </row>
    <row r="207" ht="14.25" customHeight="1" s="118">
      <c r="A207" s="117" t="n"/>
      <c r="B207" s="117" t="n"/>
      <c r="C207" s="117" t="n"/>
      <c r="D207" s="117" t="n"/>
      <c r="E207" s="117" t="n"/>
      <c r="F207" s="117" t="n"/>
      <c r="G207" s="117" t="n"/>
      <c r="H207" s="117" t="n"/>
      <c r="I207" s="117" t="n"/>
      <c r="J207" s="117" t="n"/>
      <c r="K207" s="117" t="n"/>
      <c r="L207" s="117" t="n"/>
      <c r="M207" s="117" t="n"/>
      <c r="N207" s="117" t="n"/>
      <c r="O207" s="117" t="n"/>
      <c r="P207" s="117" t="n"/>
      <c r="Q207" s="117" t="n"/>
      <c r="R207" s="117" t="n"/>
      <c r="S207" s="117" t="n"/>
      <c r="T207" s="117" t="n"/>
      <c r="U207" s="117" t="n"/>
      <c r="V207" s="117" t="n"/>
      <c r="W207" s="117" t="n"/>
      <c r="X207" s="117" t="n"/>
      <c r="Y207" s="117" t="n"/>
      <c r="Z207" s="117" t="n"/>
    </row>
    <row r="208" ht="14.25" customHeight="1" s="118">
      <c r="A208" s="117" t="n"/>
      <c r="B208" s="117" t="n"/>
      <c r="C208" s="117" t="n"/>
      <c r="D208" s="117" t="n"/>
      <c r="E208" s="117" t="n"/>
      <c r="F208" s="117" t="n"/>
      <c r="G208" s="117" t="n"/>
      <c r="H208" s="117" t="n"/>
      <c r="I208" s="117" t="n"/>
      <c r="J208" s="117" t="n"/>
      <c r="K208" s="117" t="n"/>
      <c r="L208" s="117" t="n"/>
      <c r="M208" s="117" t="n"/>
      <c r="N208" s="117" t="n"/>
      <c r="O208" s="117" t="n"/>
      <c r="P208" s="117" t="n"/>
      <c r="Q208" s="117" t="n"/>
      <c r="R208" s="117" t="n"/>
      <c r="S208" s="117" t="n"/>
      <c r="T208" s="117" t="n"/>
      <c r="U208" s="117" t="n"/>
      <c r="V208" s="117" t="n"/>
      <c r="W208" s="117" t="n"/>
      <c r="X208" s="117" t="n"/>
      <c r="Y208" s="117" t="n"/>
      <c r="Z208" s="117" t="n"/>
    </row>
    <row r="209" ht="14.25" customHeight="1" s="118">
      <c r="A209" s="117" t="n"/>
      <c r="B209" s="117" t="n"/>
      <c r="C209" s="117" t="n"/>
      <c r="D209" s="117" t="n"/>
      <c r="E209" s="117" t="n"/>
      <c r="F209" s="117" t="n"/>
      <c r="G209" s="117" t="n"/>
      <c r="H209" s="117" t="n"/>
      <c r="I209" s="117" t="n"/>
      <c r="J209" s="117" t="n"/>
      <c r="K209" s="117" t="n"/>
      <c r="L209" s="117" t="n"/>
      <c r="M209" s="117" t="n"/>
      <c r="N209" s="117" t="n"/>
      <c r="O209" s="117" t="n"/>
      <c r="P209" s="117" t="n"/>
      <c r="Q209" s="117" t="n"/>
      <c r="R209" s="117" t="n"/>
      <c r="S209" s="117" t="n"/>
      <c r="T209" s="117" t="n"/>
      <c r="U209" s="117" t="n"/>
      <c r="V209" s="117" t="n"/>
      <c r="W209" s="117" t="n"/>
      <c r="X209" s="117" t="n"/>
      <c r="Y209" s="117" t="n"/>
      <c r="Z209" s="117" t="n"/>
    </row>
    <row r="210" ht="14.25" customHeight="1" s="118">
      <c r="A210" s="117" t="n"/>
      <c r="B210" s="117" t="n"/>
      <c r="C210" s="117" t="n"/>
      <c r="D210" s="117" t="n"/>
      <c r="E210" s="117" t="n"/>
      <c r="F210" s="117" t="n"/>
      <c r="G210" s="117" t="n"/>
      <c r="H210" s="117" t="n"/>
      <c r="I210" s="117" t="n"/>
      <c r="J210" s="117" t="n"/>
      <c r="K210" s="117" t="n"/>
      <c r="L210" s="117" t="n"/>
      <c r="M210" s="117" t="n"/>
      <c r="N210" s="117" t="n"/>
      <c r="O210" s="117" t="n"/>
      <c r="P210" s="117" t="n"/>
      <c r="Q210" s="117" t="n"/>
      <c r="R210" s="117" t="n"/>
      <c r="S210" s="117" t="n"/>
      <c r="T210" s="117" t="n"/>
      <c r="U210" s="117" t="n"/>
      <c r="V210" s="117" t="n"/>
      <c r="W210" s="117" t="n"/>
      <c r="X210" s="117" t="n"/>
      <c r="Y210" s="117" t="n"/>
      <c r="Z210" s="117" t="n"/>
    </row>
    <row r="211" ht="14.25" customHeight="1" s="118">
      <c r="A211" s="117" t="n"/>
      <c r="B211" s="117" t="n"/>
      <c r="C211" s="117" t="n"/>
      <c r="D211" s="117" t="n"/>
      <c r="E211" s="117" t="n"/>
      <c r="F211" s="117" t="n"/>
      <c r="G211" s="117" t="n"/>
      <c r="H211" s="117" t="n"/>
      <c r="I211" s="117" t="n"/>
      <c r="J211" s="117" t="n"/>
      <c r="K211" s="117" t="n"/>
      <c r="L211" s="117" t="n"/>
      <c r="M211" s="117" t="n"/>
      <c r="N211" s="117" t="n"/>
      <c r="O211" s="117" t="n"/>
      <c r="P211" s="117" t="n"/>
      <c r="Q211" s="117" t="n"/>
      <c r="R211" s="117" t="n"/>
      <c r="S211" s="117" t="n"/>
      <c r="T211" s="117" t="n"/>
      <c r="U211" s="117" t="n"/>
      <c r="V211" s="117" t="n"/>
      <c r="W211" s="117" t="n"/>
      <c r="X211" s="117" t="n"/>
      <c r="Y211" s="117" t="n"/>
      <c r="Z211" s="117" t="n"/>
    </row>
    <row r="212" ht="14.25" customHeight="1" s="118">
      <c r="A212" s="117" t="n"/>
      <c r="B212" s="117" t="n"/>
      <c r="C212" s="117" t="n"/>
      <c r="D212" s="117" t="n"/>
      <c r="E212" s="117" t="n"/>
      <c r="F212" s="117" t="n"/>
      <c r="G212" s="117" t="n"/>
      <c r="H212" s="117" t="n"/>
      <c r="I212" s="117" t="n"/>
      <c r="J212" s="117" t="n"/>
      <c r="K212" s="117" t="n"/>
      <c r="L212" s="117" t="n"/>
      <c r="M212" s="117" t="n"/>
      <c r="N212" s="117" t="n"/>
      <c r="O212" s="117" t="n"/>
      <c r="P212" s="117" t="n"/>
      <c r="Q212" s="117" t="n"/>
      <c r="R212" s="117" t="n"/>
      <c r="S212" s="117" t="n"/>
      <c r="T212" s="117" t="n"/>
      <c r="U212" s="117" t="n"/>
      <c r="V212" s="117" t="n"/>
      <c r="W212" s="117" t="n"/>
      <c r="X212" s="117" t="n"/>
      <c r="Y212" s="117" t="n"/>
      <c r="Z212" s="117" t="n"/>
    </row>
    <row r="213" ht="14.25" customHeight="1" s="118">
      <c r="A213" s="117" t="n"/>
      <c r="B213" s="117" t="n"/>
      <c r="C213" s="117" t="n"/>
      <c r="D213" s="117" t="n"/>
      <c r="E213" s="117" t="n"/>
      <c r="F213" s="117" t="n"/>
      <c r="G213" s="117" t="n"/>
      <c r="H213" s="117" t="n"/>
      <c r="I213" s="117" t="n"/>
      <c r="J213" s="117" t="n"/>
      <c r="K213" s="117" t="n"/>
      <c r="L213" s="117" t="n"/>
      <c r="M213" s="117" t="n"/>
      <c r="N213" s="117" t="n"/>
      <c r="O213" s="117" t="n"/>
      <c r="P213" s="117" t="n"/>
      <c r="Q213" s="117" t="n"/>
      <c r="R213" s="117" t="n"/>
      <c r="S213" s="117" t="n"/>
      <c r="T213" s="117" t="n"/>
      <c r="U213" s="117" t="n"/>
      <c r="V213" s="117" t="n"/>
      <c r="W213" s="117" t="n"/>
      <c r="X213" s="117" t="n"/>
      <c r="Y213" s="117" t="n"/>
      <c r="Z213" s="117" t="n"/>
    </row>
    <row r="214" ht="14.25" customHeight="1" s="118">
      <c r="A214" s="117" t="n"/>
      <c r="B214" s="117" t="n"/>
      <c r="C214" s="117" t="n"/>
      <c r="D214" s="117" t="n"/>
      <c r="E214" s="117" t="n"/>
      <c r="F214" s="117" t="n"/>
      <c r="G214" s="117" t="n"/>
      <c r="H214" s="117" t="n"/>
      <c r="I214" s="117" t="n"/>
      <c r="J214" s="117" t="n"/>
      <c r="K214" s="117" t="n"/>
      <c r="L214" s="117" t="n"/>
      <c r="M214" s="117" t="n"/>
      <c r="N214" s="117" t="n"/>
      <c r="O214" s="117" t="n"/>
      <c r="P214" s="117" t="n"/>
      <c r="Q214" s="117" t="n"/>
      <c r="R214" s="117" t="n"/>
      <c r="S214" s="117" t="n"/>
      <c r="T214" s="117" t="n"/>
      <c r="U214" s="117" t="n"/>
      <c r="V214" s="117" t="n"/>
      <c r="W214" s="117" t="n"/>
      <c r="X214" s="117" t="n"/>
      <c r="Y214" s="117" t="n"/>
      <c r="Z214" s="117" t="n"/>
    </row>
    <row r="215" ht="14.25" customHeight="1" s="118">
      <c r="A215" s="117" t="n"/>
      <c r="B215" s="117" t="n"/>
      <c r="C215" s="117" t="n"/>
      <c r="D215" s="117" t="n"/>
      <c r="E215" s="117" t="n"/>
      <c r="F215" s="117" t="n"/>
      <c r="G215" s="117" t="n"/>
      <c r="H215" s="117" t="n"/>
      <c r="I215" s="117" t="n"/>
      <c r="J215" s="117" t="n"/>
      <c r="K215" s="117" t="n"/>
      <c r="L215" s="117" t="n"/>
      <c r="M215" s="117" t="n"/>
      <c r="N215" s="117" t="n"/>
      <c r="O215" s="117" t="n"/>
      <c r="P215" s="117" t="n"/>
      <c r="Q215" s="117" t="n"/>
      <c r="R215" s="117" t="n"/>
      <c r="S215" s="117" t="n"/>
      <c r="T215" s="117" t="n"/>
      <c r="U215" s="117" t="n"/>
      <c r="V215" s="117" t="n"/>
      <c r="W215" s="117" t="n"/>
      <c r="X215" s="117" t="n"/>
      <c r="Y215" s="117" t="n"/>
      <c r="Z215" s="117" t="n"/>
    </row>
    <row r="216" ht="14.25" customHeight="1" s="118">
      <c r="A216" s="117" t="n"/>
      <c r="B216" s="117" t="n"/>
      <c r="C216" s="117" t="n"/>
      <c r="D216" s="117" t="n"/>
      <c r="E216" s="117" t="n"/>
      <c r="F216" s="117" t="n"/>
      <c r="G216" s="117" t="n"/>
      <c r="H216" s="117" t="n"/>
      <c r="I216" s="117" t="n"/>
      <c r="J216" s="117" t="n"/>
      <c r="K216" s="117" t="n"/>
      <c r="L216" s="117" t="n"/>
      <c r="M216" s="117" t="n"/>
      <c r="N216" s="117" t="n"/>
      <c r="O216" s="117" t="n"/>
      <c r="P216" s="117" t="n"/>
      <c r="Q216" s="117" t="n"/>
      <c r="R216" s="117" t="n"/>
      <c r="S216" s="117" t="n"/>
      <c r="T216" s="117" t="n"/>
      <c r="U216" s="117" t="n"/>
      <c r="V216" s="117" t="n"/>
      <c r="W216" s="117" t="n"/>
      <c r="X216" s="117" t="n"/>
      <c r="Y216" s="117" t="n"/>
      <c r="Z216" s="117" t="n"/>
    </row>
    <row r="217" ht="14.25" customHeight="1" s="118">
      <c r="A217" s="117" t="n"/>
      <c r="B217" s="117" t="n"/>
      <c r="C217" s="117" t="n"/>
      <c r="D217" s="117" t="n"/>
      <c r="E217" s="117" t="n"/>
      <c r="F217" s="117" t="n"/>
      <c r="G217" s="117" t="n"/>
      <c r="H217" s="117" t="n"/>
      <c r="I217" s="117" t="n"/>
      <c r="J217" s="117" t="n"/>
      <c r="K217" s="117" t="n"/>
      <c r="L217" s="117" t="n"/>
      <c r="M217" s="117" t="n"/>
      <c r="N217" s="117" t="n"/>
      <c r="O217" s="117" t="n"/>
      <c r="P217" s="117" t="n"/>
      <c r="Q217" s="117" t="n"/>
      <c r="R217" s="117" t="n"/>
      <c r="S217" s="117" t="n"/>
      <c r="T217" s="117" t="n"/>
      <c r="U217" s="117" t="n"/>
      <c r="V217" s="117" t="n"/>
      <c r="W217" s="117" t="n"/>
      <c r="X217" s="117" t="n"/>
      <c r="Y217" s="117" t="n"/>
      <c r="Z217" s="117" t="n"/>
    </row>
    <row r="218" ht="14.25" customHeight="1" s="118">
      <c r="A218" s="117" t="n"/>
      <c r="B218" s="117" t="n"/>
      <c r="C218" s="117" t="n"/>
      <c r="D218" s="117" t="n"/>
      <c r="E218" s="117" t="n"/>
      <c r="F218" s="117" t="n"/>
      <c r="G218" s="117" t="n"/>
      <c r="H218" s="117" t="n"/>
      <c r="I218" s="117" t="n"/>
      <c r="J218" s="117" t="n"/>
      <c r="K218" s="117" t="n"/>
      <c r="L218" s="117" t="n"/>
      <c r="M218" s="117" t="n"/>
      <c r="N218" s="117" t="n"/>
      <c r="O218" s="117" t="n"/>
      <c r="P218" s="117" t="n"/>
      <c r="Q218" s="117" t="n"/>
      <c r="R218" s="117" t="n"/>
      <c r="S218" s="117" t="n"/>
      <c r="T218" s="117" t="n"/>
      <c r="U218" s="117" t="n"/>
      <c r="V218" s="117" t="n"/>
      <c r="W218" s="117" t="n"/>
      <c r="X218" s="117" t="n"/>
      <c r="Y218" s="117" t="n"/>
      <c r="Z218" s="117" t="n"/>
    </row>
    <row r="219" ht="14.25" customHeight="1" s="118">
      <c r="A219" s="117" t="n"/>
      <c r="B219" s="117" t="n"/>
      <c r="C219" s="117" t="n"/>
      <c r="D219" s="117" t="n"/>
      <c r="E219" s="117" t="n"/>
      <c r="F219" s="117" t="n"/>
      <c r="G219" s="117" t="n"/>
      <c r="H219" s="117" t="n"/>
      <c r="I219" s="117" t="n"/>
      <c r="J219" s="117" t="n"/>
      <c r="K219" s="117" t="n"/>
      <c r="L219" s="117" t="n"/>
      <c r="M219" s="117" t="n"/>
      <c r="N219" s="117" t="n"/>
      <c r="O219" s="117" t="n"/>
      <c r="P219" s="117" t="n"/>
      <c r="Q219" s="117" t="n"/>
      <c r="R219" s="117" t="n"/>
      <c r="S219" s="117" t="n"/>
      <c r="T219" s="117" t="n"/>
      <c r="U219" s="117" t="n"/>
      <c r="V219" s="117" t="n"/>
      <c r="W219" s="117" t="n"/>
      <c r="X219" s="117" t="n"/>
      <c r="Y219" s="117" t="n"/>
      <c r="Z219" s="117" t="n"/>
    </row>
    <row r="220" ht="14.25" customHeight="1" s="118">
      <c r="A220" s="117" t="n"/>
      <c r="B220" s="117" t="n"/>
      <c r="C220" s="117" t="n"/>
      <c r="D220" s="117" t="n"/>
      <c r="E220" s="117" t="n"/>
      <c r="F220" s="117" t="n"/>
      <c r="G220" s="117" t="n"/>
      <c r="H220" s="117" t="n"/>
      <c r="I220" s="117" t="n"/>
      <c r="J220" s="117" t="n"/>
      <c r="K220" s="117" t="n"/>
      <c r="L220" s="117" t="n"/>
      <c r="M220" s="117" t="n"/>
      <c r="N220" s="117" t="n"/>
      <c r="O220" s="117" t="n"/>
      <c r="P220" s="117" t="n"/>
      <c r="Q220" s="117" t="n"/>
      <c r="R220" s="117" t="n"/>
      <c r="S220" s="117" t="n"/>
      <c r="T220" s="117" t="n"/>
      <c r="U220" s="117" t="n"/>
      <c r="V220" s="117" t="n"/>
      <c r="W220" s="117" t="n"/>
      <c r="X220" s="117" t="n"/>
      <c r="Y220" s="117" t="n"/>
      <c r="Z220" s="117" t="n"/>
    </row>
    <row r="221" ht="15.75" customHeight="1" s="11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11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11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11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1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A2:L2"/>
    <mergeCell ref="A1:L1"/>
  </mergeCells>
  <conditionalFormatting sqref="K4:K1000">
    <cfRule type="cellIs" priority="1" operator="equal" dxfId="0">
      <formula>"Done"</formula>
    </cfRule>
    <cfRule type="cellIs" priority="2" operator="equal" dxfId="0">
      <formula>"Completed"</formula>
    </cfRule>
    <cfRule type="cellIs" priority="3" operator="equal" dxfId="0">
      <formula>"Closed"</formula>
    </cfRule>
    <cfRule type="cellIs" priority="4" operator="equal" dxfId="0">
      <formula>"Fixed"</formula>
    </cfRule>
    <cfRule type="cellIs" priority="5" operator="equal" dxfId="0">
      <formula>"Approved"</formula>
    </cfRule>
    <cfRule type="cellIs" priority="6" operator="equal" dxfId="1">
      <formula>"In Progress"</formula>
    </cfRule>
    <cfRule type="cellIs" priority="7" operator="equal" dxfId="2">
      <formula>"Open"</formula>
    </cfRule>
    <cfRule type="cellIs" priority="8" operator="equal" dxfId="1">
      <formula>"Pending"</formula>
    </cfRule>
    <cfRule type="cellIs" priority="9" operator="equal" dxfId="2">
      <formula>"Blocked"</formula>
    </cfRule>
    <cfRule type="cellIs" priority="10" operator="equal" dxfId="3">
      <formula>"Cancelled"</formula>
    </cfRule>
    <cfRule type="cellIs" priority="11" operator="equal" dxfId="2">
      <formula>"Rejected"</formula>
    </cfRule>
    <cfRule type="cellIs" priority="12" operator="equal" dxfId="4">
      <formula>"Submitted"</formula>
    </cfRule>
  </conditionalFormatting>
  <dataValidations count="3">
    <dataValidation sqref="D4:E101" showDropDown="0" showInputMessage="0" showErrorMessage="0" allowBlank="1" type="list">
      <formula1>"High,Medium,Low"</formula1>
    </dataValidation>
    <dataValidation sqref="K4:K101" showDropDown="0" showInputMessage="0" showErrorMessage="0" allowBlank="1" type="list">
      <formula1>"Open,Mitigated,Occurred,Closed"</formula1>
    </dataValidation>
    <dataValidation sqref="C4:C101" showDropDown="0" showInputMessage="0" showErrorMessage="0" allowBlank="1" type="list">
      <formula1>"Technical,Schedule,Resource,Scope,External,Quality,Other"</formula1>
    </dataValidation>
  </dataValidations>
  <pageMargins left="0.75" right="0.75" top="1" bottom="1" header="0" footer="0"/>
  <pageSetup orientation="landscape"/>
</worksheet>
</file>

<file path=xl/worksheets/sheet9.xml><?xml version="1.0" encoding="utf-8"?>
<worksheet xmlns="http://schemas.openxmlformats.org/spreadsheetml/2006/main">
  <sheetPr>
    <tabColor rgb="FF595959"/>
    <outlinePr summaryBelow="1" summaryRight="1"/>
    <pageSetUpPr/>
  </sheetPr>
  <dimension ref="A1:Z1000"/>
  <sheetViews>
    <sheetView showGridLines="0" workbookViewId="0">
      <pane ySplit="3" topLeftCell="A4" activePane="bottomLeft" state="frozen"/>
      <selection pane="bottomLeft" activeCell="B5" sqref="B5"/>
    </sheetView>
  </sheetViews>
  <sheetFormatPr baseColWidth="8" defaultColWidth="14.43" defaultRowHeight="15" customHeight="1"/>
  <cols>
    <col width="10.14" customWidth="1" style="118" min="1" max="1"/>
    <col width="13.71" customWidth="1" style="118" min="2" max="2"/>
    <col width="41.14" customWidth="1" style="118" min="3" max="3"/>
    <col width="16" customWidth="1" style="118" min="4" max="4"/>
    <col width="20.57" customWidth="1" style="118" min="5" max="5"/>
    <col width="25.14" customWidth="1" style="118" min="6" max="6"/>
    <col width="18.29" customWidth="1" style="118" min="7" max="7"/>
    <col width="20.57" customWidth="1" style="118" min="8" max="8"/>
    <col width="11.43" customWidth="1" style="118" min="9" max="9"/>
    <col width="16" customWidth="1" style="118" min="10" max="10"/>
    <col width="13.71" customWidth="1" style="118" min="11" max="11"/>
    <col width="22.86" customWidth="1" style="118" min="12" max="12"/>
    <col width="10" customWidth="1" style="118" min="13" max="26"/>
  </cols>
  <sheetData>
    <row r="1" ht="27.75" customHeight="1" s="118">
      <c r="A1" s="3" t="inlineStr">
        <is>
          <t>ChangeLog — Requirement &amp; Scope Change Tracking</t>
        </is>
      </c>
      <c r="M1" s="1" t="n"/>
      <c r="N1" s="1" t="n"/>
      <c r="O1" s="1" t="n"/>
      <c r="P1" s="1" t="n"/>
      <c r="Q1" s="1" t="n"/>
      <c r="R1" s="1" t="n"/>
      <c r="S1" s="1" t="n"/>
      <c r="T1" s="1" t="n"/>
      <c r="U1" s="1" t="n"/>
      <c r="V1" s="1" t="n"/>
      <c r="W1" s="1" t="n"/>
      <c r="X1" s="1" t="n"/>
      <c r="Y1" s="1" t="n"/>
      <c r="Z1" s="1" t="n"/>
    </row>
    <row r="2" ht="15.75" customHeight="1" s="118">
      <c r="A2" s="6" t="inlineStr">
        <is>
          <t>Log ALL changes to requirements, design, or scope  ·  No mid-sprint changes without approval  ·  Reference this log when versions of SRS/SDS increment</t>
        </is>
      </c>
      <c r="M2" s="1" t="n"/>
      <c r="N2" s="1" t="n"/>
      <c r="O2" s="1" t="n"/>
      <c r="P2" s="1" t="n"/>
      <c r="Q2" s="1" t="n"/>
      <c r="R2" s="1" t="n"/>
      <c r="S2" s="1" t="n"/>
      <c r="T2" s="1" t="n"/>
      <c r="U2" s="1" t="n"/>
      <c r="V2" s="1" t="n"/>
      <c r="W2" s="1" t="n"/>
      <c r="X2" s="1" t="n"/>
      <c r="Y2" s="1" t="n"/>
      <c r="Z2" s="1" t="n"/>
    </row>
    <row r="3" ht="6" customHeight="1" s="118">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38.25" customHeight="1" s="118">
      <c r="A4" s="109" t="inlineStr">
        <is>
          <t>#</t>
        </is>
      </c>
      <c r="B4" s="109" t="inlineStr">
        <is>
          <t>Date</t>
        </is>
      </c>
      <c r="C4" s="109" t="inlineStr">
        <is>
          <t>Change Description</t>
        </is>
      </c>
      <c r="D4" s="109" t="inlineStr">
        <is>
          <t>Requested By</t>
        </is>
      </c>
      <c r="E4" s="109" t="inlineStr">
        <is>
          <t>Affects (SRS/WBS/Code)</t>
        </is>
      </c>
      <c r="F4" s="109" t="inlineStr">
        <is>
          <t>Impact on Scope</t>
        </is>
      </c>
      <c r="G4" s="109" t="inlineStr">
        <is>
          <t>Impact on Effort (pds)</t>
        </is>
      </c>
      <c r="H4" s="109" t="inlineStr">
        <is>
          <t>Impact on Timeline</t>
        </is>
      </c>
      <c r="I4" s="109" t="inlineStr">
        <is>
          <t>Priority</t>
        </is>
      </c>
      <c r="J4" s="109" t="inlineStr">
        <is>
          <t>Approved By</t>
        </is>
      </c>
      <c r="K4" s="109" t="inlineStr">
        <is>
          <t>Status</t>
        </is>
      </c>
      <c r="L4" s="109" t="inlineStr">
        <is>
          <t>Notes</t>
        </is>
      </c>
      <c r="M4" s="1" t="n"/>
      <c r="N4" s="1" t="n"/>
      <c r="O4" s="1" t="n"/>
      <c r="P4" s="1" t="n"/>
      <c r="Q4" s="1" t="n"/>
      <c r="R4" s="1" t="n"/>
      <c r="S4" s="1" t="n"/>
      <c r="T4" s="1" t="n"/>
      <c r="U4" s="1" t="n"/>
      <c r="V4" s="1" t="n"/>
      <c r="W4" s="1" t="n"/>
      <c r="X4" s="1" t="n"/>
      <c r="Y4" s="1" t="n"/>
      <c r="Z4" s="1" t="n"/>
    </row>
    <row r="5" ht="47.25" customHeight="1" s="118">
      <c r="A5" s="110" t="inlineStr">
        <is>
          <t>C-001</t>
        </is>
      </c>
      <c r="B5" s="111" t="inlineStr">
        <is>
          <t>2026-07-20</t>
        </is>
      </c>
      <c r="C5" s="112" t="inlineStr">
        <is>
          <t>FE-01: replace UC 12/13 with Activate/Deactivate AGV and mid-task disconnection handling</t>
        </is>
      </c>
      <c r="D5" s="113" t="inlineStr">
        <is>
          <t>HungPV</t>
        </is>
      </c>
      <c r="E5" s="113" t="inlineStr">
        <is>
          <t>SRS 1.3.2, 2.1; WBS #12-13</t>
        </is>
      </c>
      <c r="F5" s="113" t="inlineStr">
        <is>
          <t>Net 0 UC (-2/+2); adds 1 Non-UI function</t>
        </is>
      </c>
      <c r="G5" s="111" t="inlineStr">
        <is>
          <t>+7 pts (6 to 13)</t>
        </is>
      </c>
      <c r="H5" s="111" t="inlineStr">
        <is>
          <t>None; both in Iteration 2</t>
        </is>
      </c>
      <c r="I5" s="98" t="inlineStr">
        <is>
          <t>Medium</t>
        </is>
      </c>
      <c r="J5" s="114" t="n"/>
      <c r="K5" s="98" t="inlineStr">
        <is>
          <t>Pending</t>
        </is>
      </c>
      <c r="L5" s="113" t="inlineStr">
        <is>
          <t>Search over 20 vehicles did not need its own UC</t>
        </is>
      </c>
      <c r="M5" s="1" t="n"/>
      <c r="N5" s="1" t="n"/>
      <c r="O5" s="1" t="n"/>
      <c r="P5" s="1" t="n"/>
      <c r="Q5" s="1" t="n"/>
      <c r="R5" s="1" t="n"/>
      <c r="S5" s="1" t="n"/>
      <c r="T5" s="1" t="n"/>
      <c r="U5" s="1" t="n"/>
      <c r="V5" s="1" t="n"/>
      <c r="W5" s="1" t="n"/>
      <c r="X5" s="1" t="n"/>
      <c r="Y5" s="1" t="n"/>
      <c r="Z5" s="1" t="n"/>
    </row>
    <row r="6" ht="52.5" customHeight="1" s="118">
      <c r="A6" s="110" t="inlineStr">
        <is>
          <t>C-002</t>
        </is>
      </c>
      <c r="B6" s="52" t="inlineStr">
        <is>
          <t>2026-07-20</t>
        </is>
      </c>
      <c r="C6" s="51" t="inlineStr">
        <is>
          <t>Correct BR-01 and MSG-15: charging threshold must be LOWER than operational, not greater</t>
        </is>
      </c>
      <c r="D6" s="51" t="inlineStr">
        <is>
          <t>HungPV</t>
        </is>
      </c>
      <c r="E6" s="51" t="inlineStr">
        <is>
          <t>SRS 5.1 BR-01; 5.2 MSG-15</t>
        </is>
      </c>
      <c r="F6" s="51" t="inlineStr">
        <is>
          <t>None</t>
        </is>
      </c>
      <c r="G6" s="52" t="inlineStr">
        <is>
          <t>0</t>
        </is>
      </c>
      <c r="H6" s="52" t="inlineStr">
        <is>
          <t>None</t>
        </is>
      </c>
      <c r="I6" s="98" t="inlineStr">
        <is>
          <t>Medium</t>
        </is>
      </c>
      <c r="J6" s="34" t="n"/>
      <c r="K6" s="98" t="inlineStr">
        <is>
          <t>Pending</t>
        </is>
      </c>
      <c r="L6" s="51" t="inlineStr">
        <is>
          <t>Stated rule contradicted defaults 20 / 10</t>
        </is>
      </c>
      <c r="M6" s="1" t="n"/>
      <c r="N6" s="1" t="n"/>
      <c r="O6" s="1" t="n"/>
      <c r="P6" s="1" t="n"/>
      <c r="Q6" s="1" t="n"/>
      <c r="R6" s="1" t="n"/>
      <c r="S6" s="1" t="n"/>
      <c r="T6" s="1" t="n"/>
      <c r="U6" s="1" t="n"/>
      <c r="V6" s="1" t="n"/>
      <c r="W6" s="1" t="n"/>
      <c r="X6" s="1" t="n"/>
      <c r="Y6" s="1" t="n"/>
      <c r="Z6" s="1" t="n"/>
    </row>
    <row r="7" ht="45" customHeight="1" s="118">
      <c r="A7" s="110" t="inlineStr">
        <is>
          <t>C-003</t>
        </is>
      </c>
      <c r="B7" s="111" t="inlineStr">
        <is>
          <t>2026-07-20</t>
        </is>
      </c>
      <c r="C7" s="113" t="inlineStr">
        <is>
          <t>FE-01 spec aligned to build: AGV keyed by code not MAC; no status column; AGV APIs Admin-only</t>
        </is>
      </c>
      <c r="D7" s="113" t="inlineStr">
        <is>
          <t>HungPV</t>
        </is>
      </c>
      <c r="E7" s="113" t="inlineStr">
        <is>
          <t>SRS 1.3.2, 1.4.2, 2.1, 5.1, 5.2</t>
        </is>
      </c>
      <c r="F7" s="113" t="inlineStr">
        <is>
          <t>Operator loses AGV read access; BR-03 deferred</t>
        </is>
      </c>
      <c r="G7" s="111" t="inlineStr">
        <is>
          <t>0</t>
        </is>
      </c>
      <c r="H7" s="111" t="inlineStr">
        <is>
          <t>None</t>
        </is>
      </c>
      <c r="I7" s="98" t="inlineStr">
        <is>
          <t>Medium</t>
        </is>
      </c>
      <c r="J7" s="114" t="n"/>
      <c r="K7" s="98" t="inlineStr">
        <is>
          <t>Pending</t>
        </is>
      </c>
      <c r="L7" s="113" t="inlineStr">
        <is>
          <t>BR-06: ignored AGV still a routing obstacle</t>
        </is>
      </c>
      <c r="M7" s="1" t="n"/>
      <c r="N7" s="1" t="n"/>
      <c r="O7" s="1" t="n"/>
      <c r="P7" s="1" t="n"/>
      <c r="Q7" s="1" t="n"/>
      <c r="R7" s="1" t="n"/>
      <c r="S7" s="1" t="n"/>
      <c r="T7" s="1" t="n"/>
      <c r="U7" s="1" t="n"/>
      <c r="V7" s="1" t="n"/>
      <c r="W7" s="1" t="n"/>
      <c r="X7" s="1" t="n"/>
      <c r="Y7" s="1" t="n"/>
      <c r="Z7" s="1" t="n"/>
    </row>
    <row r="8" ht="42.75" customHeight="1" s="118">
      <c r="A8" s="110" t="inlineStr">
        <is>
          <t>C-004</t>
        </is>
      </c>
      <c r="B8" s="52" t="inlineStr">
        <is>
          <t>2026-07-20</t>
        </is>
      </c>
      <c r="C8" s="51" t="inlineStr">
        <is>
          <t>FE-02: drop map topology editing; add UC 37/38/39; UC 32 narrowed to name and colour</t>
        </is>
      </c>
      <c r="D8" s="51" t="inlineStr">
        <is>
          <t>HungPV</t>
        </is>
      </c>
      <c r="E8" s="51" t="inlineStr">
        <is>
          <t>SRS 1.3.2, 2.2, 1.5, 5.1, 5.2</t>
        </is>
      </c>
      <c r="F8" s="51" t="inlineStr">
        <is>
          <t>Point/path/block management removed; 3 implemented UCs documented</t>
        </is>
      </c>
      <c r="G8" s="52" t="inlineStr">
        <is>
          <t>0</t>
        </is>
      </c>
      <c r="H8" s="52" t="inlineStr">
        <is>
          <t>None</t>
        </is>
      </c>
      <c r="I8" s="98" t="inlineStr">
        <is>
          <t>Medium</t>
        </is>
      </c>
      <c r="J8" s="34" t="n"/>
      <c r="K8" s="98" t="inlineStr">
        <is>
          <t>Pending</t>
        </is>
      </c>
      <c r="L8" s="51" t="inlineStr">
        <is>
          <t>Topology is edited in the openTCS Model Editor, not in WES</t>
        </is>
      </c>
      <c r="M8" s="1" t="n"/>
      <c r="N8" s="1" t="n"/>
      <c r="O8" s="1" t="n"/>
      <c r="P8" s="1" t="n"/>
      <c r="Q8" s="1" t="n"/>
      <c r="R8" s="1" t="n"/>
      <c r="S8" s="1" t="n"/>
      <c r="T8" s="1" t="n"/>
      <c r="U8" s="1" t="n"/>
      <c r="V8" s="1" t="n"/>
      <c r="W8" s="1" t="n"/>
      <c r="X8" s="1" t="n"/>
      <c r="Y8" s="1" t="n"/>
      <c r="Z8" s="1" t="n"/>
    </row>
    <row r="9" ht="19.5" customHeight="1" s="118">
      <c r="A9" s="110" t="inlineStr">
        <is>
          <t>C-005</t>
        </is>
      </c>
      <c r="B9" s="52" t="inlineStr">
        <is>
          <t>2026-07-22</t>
        </is>
      </c>
      <c r="C9" s="51" t="inlineStr">
        <is>
          <t>Charging (BR-03) promoted to this release; 2-threshold battery model (critical 20% / sufficient 60%).</t>
        </is>
      </c>
      <c r="D9" s="51" t="inlineStr">
        <is>
          <t>HungPV</t>
        </is>
      </c>
      <c r="E9" s="34" t="n"/>
      <c r="F9" s="34" t="n"/>
      <c r="G9" s="34" t="n"/>
      <c r="H9" s="34" t="n"/>
      <c r="I9" s="98" t="inlineStr">
        <is>
          <t>Medium</t>
        </is>
      </c>
      <c r="J9" s="34" t="n"/>
      <c r="K9" s="98" t="inlineStr">
        <is>
          <t>Pending</t>
        </is>
      </c>
      <c r="L9" s="34" t="n"/>
      <c r="M9" s="1" t="n"/>
      <c r="N9" s="1" t="n"/>
      <c r="O9" s="1" t="n"/>
      <c r="P9" s="1" t="n"/>
      <c r="Q9" s="1" t="n"/>
      <c r="R9" s="1" t="n"/>
      <c r="S9" s="1" t="n"/>
      <c r="T9" s="1" t="n"/>
      <c r="U9" s="1" t="n"/>
      <c r="V9" s="1" t="n"/>
      <c r="W9" s="1" t="n"/>
      <c r="X9" s="1" t="n"/>
      <c r="Y9" s="1" t="n"/>
      <c r="Z9" s="1" t="n"/>
    </row>
    <row r="10" ht="19.5" customHeight="1" s="118">
      <c r="A10" s="110" t="inlineStr">
        <is>
          <t>C-006</t>
        </is>
      </c>
      <c r="B10" s="52" t="inlineStr">
        <is>
          <t>2026-07-22</t>
        </is>
      </c>
      <c r="C10" s="51" t="inlineStr">
        <is>
          <t>WBS: added the 18 non-UI functions from SRS §1.4.3 as tracked tasks.</t>
        </is>
      </c>
      <c r="D10" s="51" t="inlineStr">
        <is>
          <t>HungPV</t>
        </is>
      </c>
      <c r="E10" s="34" t="n"/>
      <c r="F10" s="34" t="n"/>
      <c r="G10" s="34" t="n"/>
      <c r="H10" s="34" t="n"/>
      <c r="I10" s="98" t="inlineStr">
        <is>
          <t>Medium</t>
        </is>
      </c>
      <c r="J10" s="34" t="n"/>
      <c r="K10" s="98" t="inlineStr">
        <is>
          <t>Pending</t>
        </is>
      </c>
      <c r="L10" s="34" t="n"/>
      <c r="M10" s="1" t="n"/>
      <c r="N10" s="1" t="n"/>
      <c r="O10" s="1" t="n"/>
      <c r="P10" s="1" t="n"/>
      <c r="Q10" s="1" t="n"/>
      <c r="R10" s="1" t="n"/>
      <c r="S10" s="1" t="n"/>
      <c r="T10" s="1" t="n"/>
      <c r="U10" s="1" t="n"/>
      <c r="V10" s="1" t="n"/>
      <c r="W10" s="1" t="n"/>
      <c r="X10" s="1" t="n"/>
      <c r="Y10" s="1" t="n"/>
      <c r="Z10" s="1" t="n"/>
    </row>
    <row r="11" ht="19.5" customHeight="1" s="118">
      <c r="A11" s="110" t="inlineStr">
        <is>
          <t>C-007</t>
        </is>
      </c>
      <c r="B11" s="111" t="inlineStr">
        <is>
          <t>2026-07-28</t>
        </is>
      </c>
      <c r="C11" s="113" t="inlineStr">
        <is>
          <t>Lane-safety guard on cargo creation. Cargo may not be declared at a slot shallower than a cargo already being picked in the same lane while the assigned vehicle holds allocated resources inside that lane; when the vehicle is still outside, creation proceeds and its pickup order is withdrawn synchronously in the same request. Preempt responsibility moved out of ReleaseEngineService into the cargo creation path.</t>
        </is>
      </c>
      <c r="D11" s="113" t="inlineStr">
        <is>
          <t>HungPV</t>
        </is>
      </c>
      <c r="E11" s="113" t="inlineStr">
        <is>
          <t>SRS 5.1 (new BR-16), UC Create Cargo, SRS 4.1 External Interfaces; SDS 3 (LaneSafetyService, ReleaseEngineService); code</t>
        </is>
      </c>
      <c r="F11" s="113" t="inlineStr">
        <is>
          <t>No new use case. One new business rule and one refused-creation path added to an existing use case.</t>
        </is>
      </c>
      <c r="G11" s="111" t="inlineStr">
        <is>
          <t>0</t>
        </is>
      </c>
      <c r="H11" s="111" t="inlineStr">
        <is>
          <t>None</t>
        </is>
      </c>
      <c r="I11" s="98" t="inlineStr">
        <is>
          <t>Medium</t>
        </is>
      </c>
      <c r="J11" s="114" t="n"/>
      <c r="K11" s="98" t="inlineStr">
        <is>
          <t>Pending</t>
        </is>
      </c>
      <c r="L11" s="113" t="inlineStr">
        <is>
          <t>allocatedResources chosen over claimedResources: allocated covers the commands already sent to the vehicle, which withdraw(immediate=false) cannot cancel. Ordering, not the database transaction, provides the safety property - a transaction cannot roll back an HTTP withdrawal. Known gaps logged as R-009 and R-010.</t>
        </is>
      </c>
      <c r="M11" s="1" t="n"/>
      <c r="N11" s="1" t="n"/>
      <c r="O11" s="1" t="n"/>
      <c r="P11" s="1" t="n"/>
      <c r="Q11" s="1" t="n"/>
      <c r="R11" s="1" t="n"/>
      <c r="S11" s="1" t="n"/>
      <c r="T11" s="1" t="n"/>
      <c r="U11" s="1" t="n"/>
      <c r="V11" s="1" t="n"/>
      <c r="W11" s="1" t="n"/>
      <c r="X11" s="1" t="n"/>
      <c r="Y11" s="1" t="n"/>
      <c r="Z11" s="1" t="n"/>
    </row>
    <row r="12" ht="19.5" customHeight="1" s="118">
      <c r="A12" s="110" t="inlineStr">
        <is>
          <t>C-008</t>
        </is>
      </c>
      <c r="B12" s="111" t="inlineStr">
        <is>
          <t>2026-07-29</t>
        </is>
      </c>
      <c r="C12" s="113" t="inlineStr">
        <is>
          <t>Idle parking is suppressed while any transport task is CREATED, READY_TO_ASSIGN or BLOCKED, not only READY_TO_ASSIGN as before.</t>
        </is>
      </c>
      <c r="D12" s="113" t="inlineStr">
        <is>
          <t>HungPV</t>
        </is>
      </c>
      <c r="E12" s="113" t="inlineStr">
        <is>
          <t>SDS 3.1.10; Code</t>
        </is>
      </c>
      <c r="F12" s="113" t="inlineStr">
        <is>
          <t>None</t>
        </is>
      </c>
      <c r="G12" s="111" t="inlineStr">
        <is>
          <t>0</t>
        </is>
      </c>
      <c r="H12" s="111" t="inlineStr">
        <is>
          <t>None</t>
        </is>
      </c>
      <c r="I12" s="98" t="inlineStr">
        <is>
          <t>Medium</t>
        </is>
      </c>
      <c r="J12" s="34" t="n"/>
      <c r="K12" s="98" t="inlineStr">
        <is>
          <t>Pending</t>
        </is>
      </c>
      <c r="L12" s="113" t="inlineStr">
        <is>
          <t>A task is written CREATED and only classified on the next flush by the release engine, so the previous gate sent a vehicle away to park one flush before the assignment engine asked for it.</t>
        </is>
      </c>
      <c r="M12" s="1" t="n"/>
      <c r="N12" s="1" t="n"/>
      <c r="O12" s="1" t="n"/>
      <c r="P12" s="1" t="n"/>
      <c r="Q12" s="1" t="n"/>
      <c r="R12" s="1" t="n"/>
      <c r="S12" s="1" t="n"/>
      <c r="T12" s="1" t="n"/>
      <c r="U12" s="1" t="n"/>
      <c r="V12" s="1" t="n"/>
      <c r="W12" s="1" t="n"/>
      <c r="X12" s="1" t="n"/>
      <c r="Y12" s="1" t="n"/>
      <c r="Z12" s="1" t="n"/>
    </row>
    <row r="13" ht="19.5" customHeight="1" s="118">
      <c r="A13" s="110" t="inlineStr">
        <is>
          <t>C-009</t>
        </is>
      </c>
      <c r="B13" s="111" t="inlineStr">
        <is>
          <t>2026-07-29</t>
        </is>
      </c>
      <c r="C13" s="113" t="inlineStr">
        <is>
          <t>Park-order disposal delegated to openTCS: park orders now carry dispensable=true and WES no longer withdraws them. The assignment-engine park preempt and the PARK_IDLE_DELAY_MS knob are removed.</t>
        </is>
      </c>
      <c r="D13" s="113" t="inlineStr">
        <is>
          <t>HungPV</t>
        </is>
      </c>
      <c r="E13" s="113" t="inlineStr">
        <is>
          <t>SDS 2.4, 3.1.10 and config table; Code</t>
        </is>
      </c>
      <c r="F13" s="113" t="inlineStr">
        <is>
          <t>None</t>
        </is>
      </c>
      <c r="G13" s="111" t="inlineStr">
        <is>
          <t>0</t>
        </is>
      </c>
      <c r="H13" s="111" t="inlineStr">
        <is>
          <t>None</t>
        </is>
      </c>
      <c r="I13" s="98" t="inlineStr">
        <is>
          <t>Medium</t>
        </is>
      </c>
      <c r="J13" s="114" t="n"/>
      <c r="K13" s="98" t="inlineStr">
        <is>
          <t>Pending</t>
        </is>
      </c>
      <c r="L13" s="113" t="inlineStr">
        <is>
          <t>SDS 3.1.10 still documents PARK_IDLE_DELAY_MS (as 10000ms), the idleSince and parkTargets attributes and the park preempt in assign() - all removed. SDS 3.1.10 also lists only four flush engines; there are now six steps.</t>
        </is>
      </c>
      <c r="M13" s="1" t="n"/>
      <c r="N13" s="1" t="n"/>
      <c r="O13" s="1" t="n"/>
      <c r="P13" s="1" t="n"/>
      <c r="Q13" s="1" t="n"/>
      <c r="R13" s="1" t="n"/>
      <c r="S13" s="1" t="n"/>
      <c r="T13" s="1" t="n"/>
      <c r="U13" s="1" t="n"/>
      <c r="V13" s="1" t="n"/>
      <c r="W13" s="1" t="n"/>
      <c r="X13" s="1" t="n"/>
      <c r="Y13" s="1" t="n"/>
      <c r="Z13" s="1" t="n"/>
    </row>
    <row r="14" ht="19.5" customHeight="1" s="118">
      <c r="A14" s="110" t="inlineStr">
        <is>
          <t>C-010</t>
        </is>
      </c>
      <c r="B14" s="34" t="inlineStr">
        <is>
          <t>2026-07-30</t>
        </is>
      </c>
      <c r="C14" s="34" t="inlineStr">
        <is>
          <t>WBS status correction. Eleven rows recorded as Not Started or In Progress are in fact delivered and verified in code: the operation dashboard and six of its KPI cards (WBS 56, 59, 60, 62, 63, 64, 65), the Charge Engine (WBS 94), and the assigned-vehicle and execution-progress views (WBS 35, 36), which are delivered on the live operation map rather than in the Cargo table. WBS 7 moves from Not Started to In Progress: the sufficient-battery threshold exists in the API and the Charge Engine already uses it; only the input field is missing.</t>
        </is>
      </c>
      <c r="D14" s="34" t="inlineStr">
        <is>
          <t>HungPV</t>
        </is>
      </c>
      <c r="E14" s="34" t="inlineStr">
        <is>
          <t>WBS</t>
        </is>
      </c>
      <c r="F14" s="34" t="inlineStr">
        <is>
          <t>None - no requirement added or removed</t>
        </is>
      </c>
      <c r="G14" s="34" t="inlineStr">
        <is>
          <t>0</t>
        </is>
      </c>
      <c r="H14" s="34" t="inlineStr">
        <is>
          <t>None</t>
        </is>
      </c>
      <c r="I14" s="98" t="inlineStr">
        <is>
          <t>Medium</t>
        </is>
      </c>
      <c r="J14" s="34" t="n"/>
      <c r="K14" s="98" t="inlineStr">
        <is>
          <t>Pending</t>
        </is>
      </c>
      <c r="L14" s="34" t="n"/>
      <c r="M14" s="1" t="n"/>
      <c r="N14" s="1" t="n"/>
      <c r="O14" s="1" t="n"/>
      <c r="P14" s="1" t="n"/>
      <c r="Q14" s="1" t="n"/>
      <c r="R14" s="1" t="n"/>
      <c r="S14" s="1" t="n"/>
      <c r="T14" s="1" t="n"/>
      <c r="U14" s="1" t="n"/>
      <c r="V14" s="1" t="n"/>
      <c r="W14" s="1" t="n"/>
      <c r="X14" s="1" t="n"/>
      <c r="Y14" s="1" t="n"/>
      <c r="Z14" s="1" t="n"/>
    </row>
    <row r="15" ht="19.5" customHeight="1" s="118">
      <c r="A15" s="110" t="inlineStr">
        <is>
          <t>C-011</t>
        </is>
      </c>
      <c r="B15" s="114" t="inlineStr">
        <is>
          <t>2026-07-30</t>
        </is>
      </c>
      <c r="C15" s="114" t="inlineStr">
        <is>
          <t>WBS: added feature group FE-08 Multi-Agent Traffic Coordination (FMS layer) with four Non-UI rows - the LaCAM* multi-agent router that replaces the stock per-vehicle Dijkstra router, the ADG per-visit precedence and acyclicity gate, the rolling-horizon commit that accepts a plan only when the solver proves it executable, and the PIBT engine with its anti-starvation priority.</t>
        </is>
      </c>
      <c r="D15" s="114" t="inlineStr">
        <is>
          <t>HungPV</t>
        </is>
      </c>
      <c r="E15" s="114" t="inlineStr">
        <is>
          <t>Report 1 FE-08 (GAP-04); SDS 4; WBS</t>
        </is>
      </c>
      <c r="F15" s="114" t="inlineStr">
        <is>
          <t>No new requirement. FE-08 was already a committed feature in Report 1 v1.1.0 (16/07/2026) but had no work breakdown at all.</t>
        </is>
      </c>
      <c r="G15" s="114" t="inlineStr">
        <is>
          <t>+32 pts (500 to 532)</t>
        </is>
      </c>
      <c r="H15" s="114" t="inlineStr">
        <is>
          <t>None - the work is already complete</t>
        </is>
      </c>
      <c r="I15" s="98" t="inlineStr">
        <is>
          <t>Medium</t>
        </is>
      </c>
      <c r="J15" s="114" t="n"/>
      <c r="K15" s="98" t="inlineStr">
        <is>
          <t>Pending</t>
        </is>
      </c>
      <c r="L15" s="114" t="n"/>
      <c r="M15" s="1" t="n"/>
      <c r="N15" s="1" t="n"/>
      <c r="O15" s="1" t="n"/>
      <c r="P15" s="1" t="n"/>
      <c r="Q15" s="1" t="n"/>
      <c r="R15" s="1" t="n"/>
      <c r="S15" s="1" t="n"/>
      <c r="T15" s="1" t="n"/>
      <c r="U15" s="1" t="n"/>
      <c r="V15" s="1" t="n"/>
      <c r="W15" s="1" t="n"/>
      <c r="X15" s="1" t="n"/>
      <c r="Y15" s="1" t="n"/>
      <c r="Z15" s="1" t="n"/>
    </row>
    <row r="16" ht="19.5" customHeight="1" s="118">
      <c r="A16" s="110" t="inlineStr">
        <is>
          <t>C-012</t>
        </is>
      </c>
      <c r="B16" s="34" t="inlineStr">
        <is>
          <t>2026-08-02</t>
        </is>
      </c>
      <c r="C16" s="34" t="inlineStr">
        <is>
          <t>WBS: added row #118 Parking Engine (idle parking) as a Non-UI function under FE-01, sub-feature Idle Management, Complex / 8 pts / Iteration 3 / Done. The engine is delivered and verified in code (parking-engine.service.ts, park-claim.store.ts) but had no work-breakdown row - it appeared in this file only as defects D-010 and D-011 and issue I-008.</t>
        </is>
      </c>
      <c r="D16" s="34" t="inlineStr">
        <is>
          <t>HungPV</t>
        </is>
      </c>
      <c r="E16" s="34" t="inlineStr">
        <is>
          <t>SRS 1.4.3 (Non-UI function #21); SDS 3.1.10; WBS</t>
        </is>
      </c>
      <c r="F16" s="34" t="inlineStr">
        <is>
          <t>No new requirement - the function is already specified in SRS 1.4.3 and the work is complete.</t>
        </is>
      </c>
      <c r="G16" s="34" t="inlineStr">
        <is>
          <t>+8 pts (532 to 540)</t>
        </is>
      </c>
      <c r="H16" s="34" t="inlineStr">
        <is>
          <t>None - the work is already complete</t>
        </is>
      </c>
      <c r="I16" s="98" t="inlineStr">
        <is>
          <t>Medium</t>
        </is>
      </c>
      <c r="J16" s="34" t="n"/>
      <c r="K16" s="98" t="inlineStr">
        <is>
          <t>Pending</t>
        </is>
      </c>
      <c r="L16" s="34" t="inlineStr">
        <is>
          <t>Iteration 3: 24 -&gt; 25 chức năng, 116 -&gt; 124 pts, Done 7 -&gt; 8; Grand Total 114 -&gt; 115 và 532 -&gt; 540 pts. Kèm theo C-009: SDS 3.1.10 vẫn mô tả PARK_IDLE_DELAY_MS và park preempt đã bị gỡ, cần sửa riêng.</t>
        </is>
      </c>
      <c r="M16" s="1" t="n"/>
      <c r="N16" s="1" t="n"/>
      <c r="O16" s="1" t="n"/>
      <c r="P16" s="1" t="n"/>
      <c r="Q16" s="1" t="n"/>
      <c r="R16" s="1" t="n"/>
      <c r="S16" s="1" t="n"/>
      <c r="T16" s="1" t="n"/>
      <c r="U16" s="1" t="n"/>
      <c r="V16" s="1" t="n"/>
      <c r="W16" s="1" t="n"/>
      <c r="X16" s="1" t="n"/>
      <c r="Y16" s="1" t="n"/>
      <c r="Z16" s="1" t="n"/>
    </row>
    <row r="17" ht="19.5" customHeight="1" s="118">
      <c r="A17" s="110" t="inlineStr">
        <is>
          <t>C-013</t>
        </is>
      </c>
      <c r="B17" s="114" t="inlineStr">
        <is>
          <t>2026-08-02</t>
        </is>
      </c>
      <c r="C17" s="114" t="inlineStr">
        <is>
          <t>Feature group FE-04 renamed from "Traffic Routing &amp; Dispatch" to "Dispatch Orchestration &amp; Release Control" to match Report 1 v1.1.0 (Table I-8), which already states that route planning and traffic coordination belong to the FMS layer (FE-08). WBS #51 View traffic congestion alerts is cancelled and merged into #66; #52 View deadlock risk alerts and #53 View projected AGV route move to FE-05. Sub-feature Route Analysis is replaced by Assignment Explainability (#54) and Assignment Logic (#103).</t>
        </is>
      </c>
      <c r="D17" s="114" t="inlineStr">
        <is>
          <t>HungPV</t>
        </is>
      </c>
      <c r="E17" s="114" t="inlineStr">
        <is>
          <t>Report 1 Table I-8 (source of truth); SRS 1.3.2 (group TRD -&gt; DOR), 1.3.2.5, 1.4.3 rows 8-9; WBS</t>
        </is>
      </c>
      <c r="F17" s="114" t="inlineStr">
        <is>
          <t>No requirement added or removed - one screen merged into an existing one (UC 67 into UC 82).</t>
        </is>
      </c>
      <c r="G17" s="114" t="inlineStr">
        <is>
          <t>0 - the merged screen keeps the estimate of #66</t>
        </is>
      </c>
      <c r="H17" s="114" t="inlineStr">
        <is>
          <t>None</t>
        </is>
      </c>
      <c r="I17" s="98" t="inlineStr">
        <is>
          <t>Medium</t>
        </is>
      </c>
      <c r="J17" s="114" t="n"/>
      <c r="K17" s="98" t="inlineStr">
        <is>
          <t>Pending</t>
        </is>
      </c>
      <c r="L17" s="114" t="inlineStr">
        <is>
          <t>WBS và SRS mang tên cũ trước Report 1 v1.1.0 (16/07/2026). FE-04 sau khi dọn chỉ còn: Policy Configuration, Queue Management, Assignment Explainability, Resource Allocation và hai engine Non-UI. Tổng số dòng và pts không đổi (#51 chuyển sang Cancelled, vốn đang Not Started).</t>
        </is>
      </c>
      <c r="M17" s="1" t="n"/>
      <c r="N17" s="1" t="n"/>
      <c r="O17" s="1" t="n"/>
      <c r="P17" s="1" t="n"/>
      <c r="Q17" s="1" t="n"/>
      <c r="R17" s="1" t="n"/>
      <c r="S17" s="1" t="n"/>
      <c r="T17" s="1" t="n"/>
      <c r="U17" s="1" t="n"/>
      <c r="V17" s="1" t="n"/>
      <c r="W17" s="1" t="n"/>
      <c r="X17" s="1" t="n"/>
      <c r="Y17" s="1" t="n"/>
      <c r="Z17" s="1" t="n"/>
    </row>
    <row r="18" ht="19.5" customHeight="1" s="118">
      <c r="A18" s="110" t="inlineStr">
        <is>
          <t>C-014</t>
        </is>
      </c>
      <c r="B18" s="34" t="inlineStr">
        <is>
          <t>2026-08-02</t>
        </is>
      </c>
      <c r="C18" s="34" t="inlineStr">
        <is>
          <t>WBS #47 renamed from "Update AGV dispatch policy" - an exact duplicate of #46 - to "View transport request dispatch queue", matching UC 63 in SRS 1.3.2 and the description already carried on the same row ("View the list of requests waiting to be orchestrated"). Copy-paste data-entry error: the row was always the dispatch-queue screen (sub-feature Queue Management, Medium / 5 pts / Iteration 2); only the task name was wrong. Not a scope change.</t>
        </is>
      </c>
      <c r="D18" s="34" t="inlineStr">
        <is>
          <t>HungPV</t>
        </is>
      </c>
      <c r="E18" s="34" t="inlineStr">
        <is>
          <t>WBS; SRS 1.3.2 (UC 63)</t>
        </is>
      </c>
      <c r="F18" s="34" t="inlineStr">
        <is>
          <t>None - data-entry correction, no requirement added or removed.</t>
        </is>
      </c>
      <c r="G18" s="34" t="inlineStr">
        <is>
          <t>0</t>
        </is>
      </c>
      <c r="H18" s="34" t="inlineStr">
        <is>
          <t>None</t>
        </is>
      </c>
      <c r="I18" s="98" t="inlineStr">
        <is>
          <t>Medium</t>
        </is>
      </c>
      <c r="J18" s="34" t="n"/>
      <c r="K18" s="98" t="inlineStr">
        <is>
          <t>Pending</t>
        </is>
      </c>
      <c r="L18" s="34" t="n"/>
      <c r="M18" s="1" t="n"/>
      <c r="N18" s="1" t="n"/>
      <c r="O18" s="1" t="n"/>
      <c r="P18" s="1" t="n"/>
      <c r="Q18" s="1" t="n"/>
      <c r="R18" s="1" t="n"/>
      <c r="S18" s="1" t="n"/>
      <c r="T18" s="1" t="n"/>
      <c r="U18" s="1" t="n"/>
      <c r="V18" s="1" t="n"/>
      <c r="W18" s="1" t="n"/>
      <c r="X18" s="1" t="n"/>
      <c r="Y18" s="1" t="n"/>
      <c r="Z18" s="1" t="n"/>
    </row>
    <row r="19" ht="19.5" customHeight="1" s="118">
      <c r="A19" s="110" t="inlineStr">
        <is>
          <t>C-015</t>
        </is>
      </c>
      <c r="B19" s="114" t="inlineStr">
        <is>
          <t>2026-08-04</t>
        </is>
      </c>
      <c r="C19" s="114" t="inlineStr">
        <is>
          <t>Dispatch documentation realigned with the implemented engine. SRS Non-UI Functions #7, #8 and #9 rewritten (withdrawal also covers lane-safety preemption; the release engine is a stage of an event-driven flush with a 5-second fleet-state heartbeat, not a periodic scan; task selection is FIFO because weight_urgency, weight_proximity and weight_inventory_position were dropped from the schema, leaving weight_battery). Added #26 Lane Safety Guard &amp; Pickup Preemption and #27 Dispatch Counterfactual Recorder - both live but undocumented - and the matching WBS rows #119 and #120. UC 71 moved to Warehouse Map &amp; Topology in both SRS and WBS; UC 63/64 recorded as delivered through the Cargo view.</t>
        </is>
      </c>
      <c r="D19" s="114" t="inlineStr">
        <is>
          <t>HungPV</t>
        </is>
      </c>
      <c r="E19" s="114" t="inlineStr">
        <is>
          <t>SRS II.1.4.3, II.1.3.2, II.1.4.2, II.1.5, II.4.2.2, II.5.2; WBS #55, #119, #120</t>
        </is>
      </c>
      <c r="F19" s="114" t="inlineStr">
        <is>
          <t>No requirement added or removed. Two already-delivered Non-UI functions are now documented (+13 pts recognised, not new work); one use case reassigned to another feature group.</t>
        </is>
      </c>
      <c r="G19" s="116" t="n">
        <v>13</v>
      </c>
      <c r="H19" s="114" t="inlineStr">
        <is>
          <t>None</t>
        </is>
      </c>
      <c r="I19" s="98" t="inlineStr">
        <is>
          <t>Medium</t>
        </is>
      </c>
      <c r="J19" s="114" t="n"/>
      <c r="K19" s="98" t="inlineStr">
        <is>
          <t>Pending</t>
        </is>
      </c>
      <c r="L19" s="114" t="inlineStr">
        <is>
          <t>Phát hiện khi rà code-vs-docs ngày 04/08: ba trọng số dispatch đã bị drop khỏi schema bởi migration 1796/1797 nhưng docs vẫn mô tả, và hai chức năng đang chạy production thì không có dòng nào trong báo cáo.</t>
        </is>
      </c>
      <c r="M19" s="1" t="n"/>
      <c r="N19" s="1" t="n"/>
      <c r="O19" s="1" t="n"/>
      <c r="P19" s="1" t="n"/>
      <c r="Q19" s="1" t="n"/>
      <c r="R19" s="1" t="n"/>
      <c r="S19" s="1" t="n"/>
      <c r="T19" s="1" t="n"/>
      <c r="U19" s="1" t="n"/>
      <c r="V19" s="1" t="n"/>
      <c r="W19" s="1" t="n"/>
      <c r="X19" s="1" t="n"/>
      <c r="Y19" s="1" t="n"/>
      <c r="Z19" s="1" t="n"/>
    </row>
    <row r="20" ht="19.5" customHeight="1" s="118">
      <c r="A20" s="110" t="inlineStr">
        <is>
          <t>C-016</t>
        </is>
      </c>
      <c r="B20" s="34" t="inlineStr">
        <is>
          <t>2026-08-04</t>
        </is>
      </c>
      <c r="C20" s="34" t="inlineStr">
        <is>
          <t>Event Log &amp; Audit Trail reduced to a minimal audit trail, and the KPI snapshot store removed. SRS: deleted UC 100-103 (technical system-event browsing) and UC 109 (log export), keeping UC 104-108 served by a single audit_logs table; removed Non-UI Functions #13 KPI Snapshot Generator and #19 Event Log Writer, entities 21 KPI Snapshot and 22 Event Log, and OR-01, OR-03 and OR-08; added an Audit Log screen to the authorization table. WBS #84, #85, #86, #87, #93, #107 and #113 set to Cancelled.</t>
        </is>
      </c>
      <c r="D20" s="34" t="inlineStr">
        <is>
          <t>HungPV</t>
        </is>
      </c>
      <c r="E20" s="34" t="inlineStr">
        <is>
          <t>SRS II.1.3.2, II.1.4.2, II.1.4.3, II.1.5, II.5.3; WBS #84-#87, #93, #107, #113</t>
        </is>
      </c>
      <c r="F20" s="34" t="inlineStr">
        <is>
          <t>Scope reduced: five use cases and one non-UI function withdrawn. The remaining five change-history use cases still satisfy OR-05 and the audit statement in II.4.2.4.</t>
        </is>
      </c>
      <c r="G20" s="81" t="n">
        <v>0</v>
      </c>
      <c r="H20" s="34" t="inlineStr">
        <is>
          <t>None</t>
        </is>
      </c>
      <c r="I20" s="94" t="inlineStr">
        <is>
          <t>High</t>
        </is>
      </c>
      <c r="J20" s="34" t="n"/>
      <c r="K20" s="98" t="inlineStr">
        <is>
          <t>Pending</t>
        </is>
      </c>
      <c r="L20" s="34" t="inlineStr">
        <is>
          <t>Dashboard KPIs are computed live from the operational tables, so kpi_snapshots described a store the system does not have; event_logs likewise has no table, entity or writer. Item and entity numbers are left with gaps, matching the earlier removal of UC 49, UC 50 and UC 67.</t>
        </is>
      </c>
      <c r="M20" s="1" t="n"/>
      <c r="N20" s="1" t="n"/>
      <c r="O20" s="1" t="n"/>
      <c r="P20" s="1" t="n"/>
      <c r="Q20" s="1" t="n"/>
      <c r="R20" s="1" t="n"/>
      <c r="S20" s="1" t="n"/>
      <c r="T20" s="1" t="n"/>
      <c r="U20" s="1" t="n"/>
      <c r="V20" s="1" t="n"/>
      <c r="W20" s="1" t="n"/>
      <c r="X20" s="1" t="n"/>
      <c r="Y20" s="1" t="n"/>
      <c r="Z20" s="1" t="n"/>
    </row>
    <row r="21" ht="19.5" customHeight="1" s="118">
      <c r="A21" s="110" t="inlineStr">
        <is>
          <t>C-017</t>
        </is>
      </c>
      <c r="B21" s="114" t="n"/>
      <c r="C21" s="114" t="n"/>
      <c r="D21" s="114" t="n"/>
      <c r="E21" s="114" t="n"/>
      <c r="F21" s="114" t="n"/>
      <c r="G21" s="114" t="n"/>
      <c r="H21" s="114" t="n"/>
      <c r="I21" s="98" t="inlineStr">
        <is>
          <t>Medium</t>
        </is>
      </c>
      <c r="J21" s="114" t="n"/>
      <c r="K21" s="98" t="inlineStr">
        <is>
          <t>Pending</t>
        </is>
      </c>
      <c r="L21" s="114" t="n"/>
      <c r="M21" s="1" t="n"/>
      <c r="N21" s="1" t="n"/>
      <c r="O21" s="1" t="n"/>
      <c r="P21" s="1" t="n"/>
      <c r="Q21" s="1" t="n"/>
      <c r="R21" s="1" t="n"/>
      <c r="S21" s="1" t="n"/>
      <c r="T21" s="1" t="n"/>
      <c r="U21" s="1" t="n"/>
      <c r="V21" s="1" t="n"/>
      <c r="W21" s="1" t="n"/>
      <c r="X21" s="1" t="n"/>
      <c r="Y21" s="1" t="n"/>
      <c r="Z21" s="1" t="n"/>
    </row>
    <row r="22" ht="19.5" customHeight="1" s="118">
      <c r="A22" s="110" t="inlineStr">
        <is>
          <t>C-018</t>
        </is>
      </c>
      <c r="B22" s="34" t="n"/>
      <c r="C22" s="34" t="n"/>
      <c r="D22" s="34" t="n"/>
      <c r="E22" s="34" t="n"/>
      <c r="F22" s="34" t="n"/>
      <c r="G22" s="34" t="n"/>
      <c r="H22" s="34" t="n"/>
      <c r="I22" s="98" t="inlineStr">
        <is>
          <t>Medium</t>
        </is>
      </c>
      <c r="J22" s="34" t="n"/>
      <c r="K22" s="98" t="inlineStr">
        <is>
          <t>Pending</t>
        </is>
      </c>
      <c r="L22" s="34" t="n"/>
      <c r="M22" s="1" t="n"/>
      <c r="N22" s="1" t="n"/>
      <c r="O22" s="1" t="n"/>
      <c r="P22" s="1" t="n"/>
      <c r="Q22" s="1" t="n"/>
      <c r="R22" s="1" t="n"/>
      <c r="S22" s="1" t="n"/>
      <c r="T22" s="1" t="n"/>
      <c r="U22" s="1" t="n"/>
      <c r="V22" s="1" t="n"/>
      <c r="W22" s="1" t="n"/>
      <c r="X22" s="1" t="n"/>
      <c r="Y22" s="1" t="n"/>
      <c r="Z22" s="1" t="n"/>
    </row>
    <row r="23" ht="14.25" customHeight="1" s="118">
      <c r="A23" s="110" t="inlineStr">
        <is>
          <t>C-019</t>
        </is>
      </c>
      <c r="B23" s="114" t="n"/>
      <c r="C23" s="114" t="n"/>
      <c r="D23" s="114" t="n"/>
      <c r="E23" s="114" t="n"/>
      <c r="F23" s="114" t="n"/>
      <c r="G23" s="114" t="n"/>
      <c r="H23" s="114" t="n"/>
      <c r="I23" s="98" t="inlineStr">
        <is>
          <t>Medium</t>
        </is>
      </c>
      <c r="J23" s="114" t="n"/>
      <c r="K23" s="98" t="inlineStr">
        <is>
          <t>Pending</t>
        </is>
      </c>
      <c r="L23" s="114" t="n"/>
      <c r="M23" s="1" t="n"/>
      <c r="N23" s="1" t="n"/>
      <c r="O23" s="1" t="n"/>
      <c r="P23" s="1" t="n"/>
      <c r="Q23" s="1" t="n"/>
      <c r="R23" s="1" t="n"/>
      <c r="S23" s="1" t="n"/>
      <c r="T23" s="1" t="n"/>
      <c r="U23" s="1" t="n"/>
      <c r="V23" s="1" t="n"/>
      <c r="W23" s="1" t="n"/>
      <c r="X23" s="1" t="n"/>
      <c r="Y23" s="1" t="n"/>
      <c r="Z23" s="1" t="n"/>
    </row>
    <row r="24" ht="14.25" customHeight="1" s="118">
      <c r="A24" s="110" t="inlineStr">
        <is>
          <t>C-020</t>
        </is>
      </c>
      <c r="B24" s="34" t="n"/>
      <c r="C24" s="34" t="n"/>
      <c r="D24" s="34" t="n"/>
      <c r="E24" s="34" t="n"/>
      <c r="F24" s="34" t="n"/>
      <c r="G24" s="34" t="n"/>
      <c r="H24" s="34" t="n"/>
      <c r="I24" s="98" t="inlineStr">
        <is>
          <t>Medium</t>
        </is>
      </c>
      <c r="J24" s="34" t="n"/>
      <c r="K24" s="98" t="inlineStr">
        <is>
          <t>Pending</t>
        </is>
      </c>
      <c r="L24" s="34" t="n"/>
      <c r="M24" s="1" t="n"/>
      <c r="N24" s="1" t="n"/>
      <c r="O24" s="1" t="n"/>
      <c r="P24" s="1" t="n"/>
      <c r="Q24" s="1" t="n"/>
      <c r="R24" s="1" t="n"/>
      <c r="S24" s="1" t="n"/>
      <c r="T24" s="1" t="n"/>
      <c r="U24" s="1" t="n"/>
      <c r="V24" s="1" t="n"/>
      <c r="W24" s="1" t="n"/>
      <c r="X24" s="1" t="n"/>
      <c r="Y24" s="1" t="n"/>
      <c r="Z24" s="1" t="n"/>
    </row>
    <row r="25" ht="14.25" customHeight="1" s="118">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4.25" customHeight="1" s="118">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4.25" customHeight="1" s="118">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4.25" customHeight="1" s="118">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4.25" customHeight="1" s="118">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118">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4.25" customHeight="1" s="118">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4.25" customHeight="1" s="118">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4.25" customHeight="1" s="118">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4.25" customHeight="1" s="118">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25" customHeight="1" s="118">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118">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118">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118">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118">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118">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118">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118">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118">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118">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118">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118">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118">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118">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118">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118">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118">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118">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118">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118">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118">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118">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118">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118">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118">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118">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118">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118">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118">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118">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118">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118">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118">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118">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118">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118">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118">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118">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118">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118">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118">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118">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118">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118">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118">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118">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118">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118">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118">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118">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118">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118">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118">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118">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118">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118">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118">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118">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118">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118">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118">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118">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118">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11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11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11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11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11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11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11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11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11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11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11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11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11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11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11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11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11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11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11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11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11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11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11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11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11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11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11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11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11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11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11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11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11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11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11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11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11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11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11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11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11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11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11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11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11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11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11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11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11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11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11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11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11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11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11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11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11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11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11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11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11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11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11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11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11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11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11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11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11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11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11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11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11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11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11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11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11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11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11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11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11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11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11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11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11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11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11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11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11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11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11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11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11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11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11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11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11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11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11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11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11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11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11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118">
      <c r="A201" s="117" t="n"/>
      <c r="B201" s="117" t="n"/>
      <c r="C201" s="117" t="n"/>
      <c r="D201" s="117" t="n"/>
      <c r="E201" s="117" t="n"/>
      <c r="F201" s="117" t="n"/>
      <c r="G201" s="117" t="n"/>
      <c r="H201" s="117" t="n"/>
      <c r="I201" s="117" t="n"/>
      <c r="J201" s="117" t="n"/>
      <c r="K201" s="117" t="n"/>
      <c r="L201" s="117" t="n"/>
      <c r="M201" s="117" t="n"/>
      <c r="N201" s="117" t="n"/>
      <c r="O201" s="117" t="n"/>
      <c r="P201" s="117" t="n"/>
      <c r="Q201" s="117" t="n"/>
      <c r="R201" s="117" t="n"/>
      <c r="S201" s="117" t="n"/>
      <c r="T201" s="117" t="n"/>
      <c r="U201" s="117" t="n"/>
      <c r="V201" s="117" t="n"/>
      <c r="W201" s="117" t="n"/>
      <c r="X201" s="117" t="n"/>
      <c r="Y201" s="117" t="n"/>
      <c r="Z201" s="117" t="n"/>
    </row>
    <row r="202" ht="14.25" customHeight="1" s="118">
      <c r="A202" s="117" t="n"/>
      <c r="B202" s="117" t="n"/>
      <c r="C202" s="117" t="n"/>
      <c r="D202" s="117" t="n"/>
      <c r="E202" s="117" t="n"/>
      <c r="F202" s="117" t="n"/>
      <c r="G202" s="117" t="n"/>
      <c r="H202" s="117" t="n"/>
      <c r="I202" s="117" t="n"/>
      <c r="J202" s="117" t="n"/>
      <c r="K202" s="117" t="n"/>
      <c r="L202" s="117" t="n"/>
      <c r="M202" s="117" t="n"/>
      <c r="N202" s="117" t="n"/>
      <c r="O202" s="117" t="n"/>
      <c r="P202" s="117" t="n"/>
      <c r="Q202" s="117" t="n"/>
      <c r="R202" s="117" t="n"/>
      <c r="S202" s="117" t="n"/>
      <c r="T202" s="117" t="n"/>
      <c r="U202" s="117" t="n"/>
      <c r="V202" s="117" t="n"/>
      <c r="W202" s="117" t="n"/>
      <c r="X202" s="117" t="n"/>
      <c r="Y202" s="117" t="n"/>
      <c r="Z202" s="117" t="n"/>
    </row>
    <row r="203" ht="14.25" customHeight="1" s="118">
      <c r="A203" s="117" t="n"/>
      <c r="B203" s="117" t="n"/>
      <c r="C203" s="117" t="n"/>
      <c r="D203" s="117" t="n"/>
      <c r="E203" s="117" t="n"/>
      <c r="F203" s="117" t="n"/>
      <c r="G203" s="117" t="n"/>
      <c r="H203" s="117" t="n"/>
      <c r="I203" s="117" t="n"/>
      <c r="J203" s="117" t="n"/>
      <c r="K203" s="117" t="n"/>
      <c r="L203" s="117" t="n"/>
      <c r="M203" s="117" t="n"/>
      <c r="N203" s="117" t="n"/>
      <c r="O203" s="117" t="n"/>
      <c r="P203" s="117" t="n"/>
      <c r="Q203" s="117" t="n"/>
      <c r="R203" s="117" t="n"/>
      <c r="S203" s="117" t="n"/>
      <c r="T203" s="117" t="n"/>
      <c r="U203" s="117" t="n"/>
      <c r="V203" s="117" t="n"/>
      <c r="W203" s="117" t="n"/>
      <c r="X203" s="117" t="n"/>
      <c r="Y203" s="117" t="n"/>
      <c r="Z203" s="117" t="n"/>
    </row>
    <row r="204" ht="14.25" customHeight="1" s="118">
      <c r="A204" s="117" t="n"/>
      <c r="B204" s="117" t="n"/>
      <c r="C204" s="117" t="n"/>
      <c r="D204" s="117" t="n"/>
      <c r="E204" s="117" t="n"/>
      <c r="F204" s="117" t="n"/>
      <c r="G204" s="117" t="n"/>
      <c r="H204" s="117" t="n"/>
      <c r="I204" s="117" t="n"/>
      <c r="J204" s="117" t="n"/>
      <c r="K204" s="117" t="n"/>
      <c r="L204" s="117" t="n"/>
      <c r="M204" s="117" t="n"/>
      <c r="N204" s="117" t="n"/>
      <c r="O204" s="117" t="n"/>
      <c r="P204" s="117" t="n"/>
      <c r="Q204" s="117" t="n"/>
      <c r="R204" s="117" t="n"/>
      <c r="S204" s="117" t="n"/>
      <c r="T204" s="117" t="n"/>
      <c r="U204" s="117" t="n"/>
      <c r="V204" s="117" t="n"/>
      <c r="W204" s="117" t="n"/>
      <c r="X204" s="117" t="n"/>
      <c r="Y204" s="117" t="n"/>
      <c r="Z204" s="117" t="n"/>
    </row>
    <row r="205" ht="14.25" customHeight="1" s="118">
      <c r="A205" s="117" t="n"/>
      <c r="B205" s="117" t="n"/>
      <c r="C205" s="117" t="n"/>
      <c r="D205" s="117" t="n"/>
      <c r="E205" s="117" t="n"/>
      <c r="F205" s="117" t="n"/>
      <c r="G205" s="117" t="n"/>
      <c r="H205" s="117" t="n"/>
      <c r="I205" s="117" t="n"/>
      <c r="J205" s="117" t="n"/>
      <c r="K205" s="117" t="n"/>
      <c r="L205" s="117" t="n"/>
      <c r="M205" s="117" t="n"/>
      <c r="N205" s="117" t="n"/>
      <c r="O205" s="117" t="n"/>
      <c r="P205" s="117" t="n"/>
      <c r="Q205" s="117" t="n"/>
      <c r="R205" s="117" t="n"/>
      <c r="S205" s="117" t="n"/>
      <c r="T205" s="117" t="n"/>
      <c r="U205" s="117" t="n"/>
      <c r="V205" s="117" t="n"/>
      <c r="W205" s="117" t="n"/>
      <c r="X205" s="117" t="n"/>
      <c r="Y205" s="117" t="n"/>
      <c r="Z205" s="117" t="n"/>
    </row>
    <row r="206" ht="14.25" customHeight="1" s="118">
      <c r="A206" s="117" t="n"/>
      <c r="B206" s="117" t="n"/>
      <c r="C206" s="117" t="n"/>
      <c r="D206" s="117" t="n"/>
      <c r="E206" s="117" t="n"/>
      <c r="F206" s="117" t="n"/>
      <c r="G206" s="117" t="n"/>
      <c r="H206" s="117" t="n"/>
      <c r="I206" s="117" t="n"/>
      <c r="J206" s="117" t="n"/>
      <c r="K206" s="117" t="n"/>
      <c r="L206" s="117" t="n"/>
      <c r="M206" s="117" t="n"/>
      <c r="N206" s="117" t="n"/>
      <c r="O206" s="117" t="n"/>
      <c r="P206" s="117" t="n"/>
      <c r="Q206" s="117" t="n"/>
      <c r="R206" s="117" t="n"/>
      <c r="S206" s="117" t="n"/>
      <c r="T206" s="117" t="n"/>
      <c r="U206" s="117" t="n"/>
      <c r="V206" s="117" t="n"/>
      <c r="W206" s="117" t="n"/>
      <c r="X206" s="117" t="n"/>
      <c r="Y206" s="117" t="n"/>
      <c r="Z206" s="117" t="n"/>
    </row>
    <row r="207" ht="14.25" customHeight="1" s="118">
      <c r="A207" s="117" t="n"/>
      <c r="B207" s="117" t="n"/>
      <c r="C207" s="117" t="n"/>
      <c r="D207" s="117" t="n"/>
      <c r="E207" s="117" t="n"/>
      <c r="F207" s="117" t="n"/>
      <c r="G207" s="117" t="n"/>
      <c r="H207" s="117" t="n"/>
      <c r="I207" s="117" t="n"/>
      <c r="J207" s="117" t="n"/>
      <c r="K207" s="117" t="n"/>
      <c r="L207" s="117" t="n"/>
      <c r="M207" s="117" t="n"/>
      <c r="N207" s="117" t="n"/>
      <c r="O207" s="117" t="n"/>
      <c r="P207" s="117" t="n"/>
      <c r="Q207" s="117" t="n"/>
      <c r="R207" s="117" t="n"/>
      <c r="S207" s="117" t="n"/>
      <c r="T207" s="117" t="n"/>
      <c r="U207" s="117" t="n"/>
      <c r="V207" s="117" t="n"/>
      <c r="W207" s="117" t="n"/>
      <c r="X207" s="117" t="n"/>
      <c r="Y207" s="117" t="n"/>
      <c r="Z207" s="117" t="n"/>
    </row>
    <row r="208" ht="14.25" customHeight="1" s="118">
      <c r="A208" s="117" t="n"/>
      <c r="B208" s="117" t="n"/>
      <c r="C208" s="117" t="n"/>
      <c r="D208" s="117" t="n"/>
      <c r="E208" s="117" t="n"/>
      <c r="F208" s="117" t="n"/>
      <c r="G208" s="117" t="n"/>
      <c r="H208" s="117" t="n"/>
      <c r="I208" s="117" t="n"/>
      <c r="J208" s="117" t="n"/>
      <c r="K208" s="117" t="n"/>
      <c r="L208" s="117" t="n"/>
      <c r="M208" s="117" t="n"/>
      <c r="N208" s="117" t="n"/>
      <c r="O208" s="117" t="n"/>
      <c r="P208" s="117" t="n"/>
      <c r="Q208" s="117" t="n"/>
      <c r="R208" s="117" t="n"/>
      <c r="S208" s="117" t="n"/>
      <c r="T208" s="117" t="n"/>
      <c r="U208" s="117" t="n"/>
      <c r="V208" s="117" t="n"/>
      <c r="W208" s="117" t="n"/>
      <c r="X208" s="117" t="n"/>
      <c r="Y208" s="117" t="n"/>
      <c r="Z208" s="117" t="n"/>
    </row>
    <row r="209" ht="14.25" customHeight="1" s="118">
      <c r="A209" s="117" t="n"/>
      <c r="B209" s="117" t="n"/>
      <c r="C209" s="117" t="n"/>
      <c r="D209" s="117" t="n"/>
      <c r="E209" s="117" t="n"/>
      <c r="F209" s="117" t="n"/>
      <c r="G209" s="117" t="n"/>
      <c r="H209" s="117" t="n"/>
      <c r="I209" s="117" t="n"/>
      <c r="J209" s="117" t="n"/>
      <c r="K209" s="117" t="n"/>
      <c r="L209" s="117" t="n"/>
      <c r="M209" s="117" t="n"/>
      <c r="N209" s="117" t="n"/>
      <c r="O209" s="117" t="n"/>
      <c r="P209" s="117" t="n"/>
      <c r="Q209" s="117" t="n"/>
      <c r="R209" s="117" t="n"/>
      <c r="S209" s="117" t="n"/>
      <c r="T209" s="117" t="n"/>
      <c r="U209" s="117" t="n"/>
      <c r="V209" s="117" t="n"/>
      <c r="W209" s="117" t="n"/>
      <c r="X209" s="117" t="n"/>
      <c r="Y209" s="117" t="n"/>
      <c r="Z209" s="117" t="n"/>
    </row>
    <row r="210" ht="14.25" customHeight="1" s="118">
      <c r="A210" s="117" t="n"/>
      <c r="B210" s="117" t="n"/>
      <c r="C210" s="117" t="n"/>
      <c r="D210" s="117" t="n"/>
      <c r="E210" s="117" t="n"/>
      <c r="F210" s="117" t="n"/>
      <c r="G210" s="117" t="n"/>
      <c r="H210" s="117" t="n"/>
      <c r="I210" s="117" t="n"/>
      <c r="J210" s="117" t="n"/>
      <c r="K210" s="117" t="n"/>
      <c r="L210" s="117" t="n"/>
      <c r="M210" s="117" t="n"/>
      <c r="N210" s="117" t="n"/>
      <c r="O210" s="117" t="n"/>
      <c r="P210" s="117" t="n"/>
      <c r="Q210" s="117" t="n"/>
      <c r="R210" s="117" t="n"/>
      <c r="S210" s="117" t="n"/>
      <c r="T210" s="117" t="n"/>
      <c r="U210" s="117" t="n"/>
      <c r="V210" s="117" t="n"/>
      <c r="W210" s="117" t="n"/>
      <c r="X210" s="117" t="n"/>
      <c r="Y210" s="117" t="n"/>
      <c r="Z210" s="117" t="n"/>
    </row>
    <row r="211" ht="14.25" customHeight="1" s="118">
      <c r="A211" s="117" t="n"/>
      <c r="B211" s="117" t="n"/>
      <c r="C211" s="117" t="n"/>
      <c r="D211" s="117" t="n"/>
      <c r="E211" s="117" t="n"/>
      <c r="F211" s="117" t="n"/>
      <c r="G211" s="117" t="n"/>
      <c r="H211" s="117" t="n"/>
      <c r="I211" s="117" t="n"/>
      <c r="J211" s="117" t="n"/>
      <c r="K211" s="117" t="n"/>
      <c r="L211" s="117" t="n"/>
      <c r="M211" s="117" t="n"/>
      <c r="N211" s="117" t="n"/>
      <c r="O211" s="117" t="n"/>
      <c r="P211" s="117" t="n"/>
      <c r="Q211" s="117" t="n"/>
      <c r="R211" s="117" t="n"/>
      <c r="S211" s="117" t="n"/>
      <c r="T211" s="117" t="n"/>
      <c r="U211" s="117" t="n"/>
      <c r="V211" s="117" t="n"/>
      <c r="W211" s="117" t="n"/>
      <c r="X211" s="117" t="n"/>
      <c r="Y211" s="117" t="n"/>
      <c r="Z211" s="117" t="n"/>
    </row>
    <row r="212" ht="14.25" customHeight="1" s="118">
      <c r="A212" s="117" t="n"/>
      <c r="B212" s="117" t="n"/>
      <c r="C212" s="117" t="n"/>
      <c r="D212" s="117" t="n"/>
      <c r="E212" s="117" t="n"/>
      <c r="F212" s="117" t="n"/>
      <c r="G212" s="117" t="n"/>
      <c r="H212" s="117" t="n"/>
      <c r="I212" s="117" t="n"/>
      <c r="J212" s="117" t="n"/>
      <c r="K212" s="117" t="n"/>
      <c r="L212" s="117" t="n"/>
      <c r="M212" s="117" t="n"/>
      <c r="N212" s="117" t="n"/>
      <c r="O212" s="117" t="n"/>
      <c r="P212" s="117" t="n"/>
      <c r="Q212" s="117" t="n"/>
      <c r="R212" s="117" t="n"/>
      <c r="S212" s="117" t="n"/>
      <c r="T212" s="117" t="n"/>
      <c r="U212" s="117" t="n"/>
      <c r="V212" s="117" t="n"/>
      <c r="W212" s="117" t="n"/>
      <c r="X212" s="117" t="n"/>
      <c r="Y212" s="117" t="n"/>
      <c r="Z212" s="117" t="n"/>
    </row>
    <row r="213" ht="14.25" customHeight="1" s="118">
      <c r="A213" s="117" t="n"/>
      <c r="B213" s="117" t="n"/>
      <c r="C213" s="117" t="n"/>
      <c r="D213" s="117" t="n"/>
      <c r="E213" s="117" t="n"/>
      <c r="F213" s="117" t="n"/>
      <c r="G213" s="117" t="n"/>
      <c r="H213" s="117" t="n"/>
      <c r="I213" s="117" t="n"/>
      <c r="J213" s="117" t="n"/>
      <c r="K213" s="117" t="n"/>
      <c r="L213" s="117" t="n"/>
      <c r="M213" s="117" t="n"/>
      <c r="N213" s="117" t="n"/>
      <c r="O213" s="117" t="n"/>
      <c r="P213" s="117" t="n"/>
      <c r="Q213" s="117" t="n"/>
      <c r="R213" s="117" t="n"/>
      <c r="S213" s="117" t="n"/>
      <c r="T213" s="117" t="n"/>
      <c r="U213" s="117" t="n"/>
      <c r="V213" s="117" t="n"/>
      <c r="W213" s="117" t="n"/>
      <c r="X213" s="117" t="n"/>
      <c r="Y213" s="117" t="n"/>
      <c r="Z213" s="117" t="n"/>
    </row>
    <row r="214" ht="14.25" customHeight="1" s="118">
      <c r="A214" s="117" t="n"/>
      <c r="B214" s="117" t="n"/>
      <c r="C214" s="117" t="n"/>
      <c r="D214" s="117" t="n"/>
      <c r="E214" s="117" t="n"/>
      <c r="F214" s="117" t="n"/>
      <c r="G214" s="117" t="n"/>
      <c r="H214" s="117" t="n"/>
      <c r="I214" s="117" t="n"/>
      <c r="J214" s="117" t="n"/>
      <c r="K214" s="117" t="n"/>
      <c r="L214" s="117" t="n"/>
      <c r="M214" s="117" t="n"/>
      <c r="N214" s="117" t="n"/>
      <c r="O214" s="117" t="n"/>
      <c r="P214" s="117" t="n"/>
      <c r="Q214" s="117" t="n"/>
      <c r="R214" s="117" t="n"/>
      <c r="S214" s="117" t="n"/>
      <c r="T214" s="117" t="n"/>
      <c r="U214" s="117" t="n"/>
      <c r="V214" s="117" t="n"/>
      <c r="W214" s="117" t="n"/>
      <c r="X214" s="117" t="n"/>
      <c r="Y214" s="117" t="n"/>
      <c r="Z214" s="117" t="n"/>
    </row>
    <row r="215" ht="14.25" customHeight="1" s="118">
      <c r="A215" s="117" t="n"/>
      <c r="B215" s="117" t="n"/>
      <c r="C215" s="117" t="n"/>
      <c r="D215" s="117" t="n"/>
      <c r="E215" s="117" t="n"/>
      <c r="F215" s="117" t="n"/>
      <c r="G215" s="117" t="n"/>
      <c r="H215" s="117" t="n"/>
      <c r="I215" s="117" t="n"/>
      <c r="J215" s="117" t="n"/>
      <c r="K215" s="117" t="n"/>
      <c r="L215" s="117" t="n"/>
      <c r="M215" s="117" t="n"/>
      <c r="N215" s="117" t="n"/>
      <c r="O215" s="117" t="n"/>
      <c r="P215" s="117" t="n"/>
      <c r="Q215" s="117" t="n"/>
      <c r="R215" s="117" t="n"/>
      <c r="S215" s="117" t="n"/>
      <c r="T215" s="117" t="n"/>
      <c r="U215" s="117" t="n"/>
      <c r="V215" s="117" t="n"/>
      <c r="W215" s="117" t="n"/>
      <c r="X215" s="117" t="n"/>
      <c r="Y215" s="117" t="n"/>
      <c r="Z215" s="117" t="n"/>
    </row>
    <row r="216" ht="14.25" customHeight="1" s="118">
      <c r="A216" s="117" t="n"/>
      <c r="B216" s="117" t="n"/>
      <c r="C216" s="117" t="n"/>
      <c r="D216" s="117" t="n"/>
      <c r="E216" s="117" t="n"/>
      <c r="F216" s="117" t="n"/>
      <c r="G216" s="117" t="n"/>
      <c r="H216" s="117" t="n"/>
      <c r="I216" s="117" t="n"/>
      <c r="J216" s="117" t="n"/>
      <c r="K216" s="117" t="n"/>
      <c r="L216" s="117" t="n"/>
      <c r="M216" s="117" t="n"/>
      <c r="N216" s="117" t="n"/>
      <c r="O216" s="117" t="n"/>
      <c r="P216" s="117" t="n"/>
      <c r="Q216" s="117" t="n"/>
      <c r="R216" s="117" t="n"/>
      <c r="S216" s="117" t="n"/>
      <c r="T216" s="117" t="n"/>
      <c r="U216" s="117" t="n"/>
      <c r="V216" s="117" t="n"/>
      <c r="W216" s="117" t="n"/>
      <c r="X216" s="117" t="n"/>
      <c r="Y216" s="117" t="n"/>
      <c r="Z216" s="117" t="n"/>
    </row>
    <row r="217" ht="14.25" customHeight="1" s="118">
      <c r="A217" s="117" t="n"/>
      <c r="B217" s="117" t="n"/>
      <c r="C217" s="117" t="n"/>
      <c r="D217" s="117" t="n"/>
      <c r="E217" s="117" t="n"/>
      <c r="F217" s="117" t="n"/>
      <c r="G217" s="117" t="n"/>
      <c r="H217" s="117" t="n"/>
      <c r="I217" s="117" t="n"/>
      <c r="J217" s="117" t="n"/>
      <c r="K217" s="117" t="n"/>
      <c r="L217" s="117" t="n"/>
      <c r="M217" s="117" t="n"/>
      <c r="N217" s="117" t="n"/>
      <c r="O217" s="117" t="n"/>
      <c r="P217" s="117" t="n"/>
      <c r="Q217" s="117" t="n"/>
      <c r="R217" s="117" t="n"/>
      <c r="S217" s="117" t="n"/>
      <c r="T217" s="117" t="n"/>
      <c r="U217" s="117" t="n"/>
      <c r="V217" s="117" t="n"/>
      <c r="W217" s="117" t="n"/>
      <c r="X217" s="117" t="n"/>
      <c r="Y217" s="117" t="n"/>
      <c r="Z217" s="117" t="n"/>
    </row>
    <row r="218" ht="14.25" customHeight="1" s="118">
      <c r="A218" s="117" t="n"/>
      <c r="B218" s="117" t="n"/>
      <c r="C218" s="117" t="n"/>
      <c r="D218" s="117" t="n"/>
      <c r="E218" s="117" t="n"/>
      <c r="F218" s="117" t="n"/>
      <c r="G218" s="117" t="n"/>
      <c r="H218" s="117" t="n"/>
      <c r="I218" s="117" t="n"/>
      <c r="J218" s="117" t="n"/>
      <c r="K218" s="117" t="n"/>
      <c r="L218" s="117" t="n"/>
      <c r="M218" s="117" t="n"/>
      <c r="N218" s="117" t="n"/>
      <c r="O218" s="117" t="n"/>
      <c r="P218" s="117" t="n"/>
      <c r="Q218" s="117" t="n"/>
      <c r="R218" s="117" t="n"/>
      <c r="S218" s="117" t="n"/>
      <c r="T218" s="117" t="n"/>
      <c r="U218" s="117" t="n"/>
      <c r="V218" s="117" t="n"/>
      <c r="W218" s="117" t="n"/>
      <c r="X218" s="117" t="n"/>
      <c r="Y218" s="117" t="n"/>
      <c r="Z218" s="117" t="n"/>
    </row>
    <row r="219" ht="14.25" customHeight="1" s="118">
      <c r="A219" s="117" t="n"/>
      <c r="B219" s="117" t="n"/>
      <c r="C219" s="117" t="n"/>
      <c r="D219" s="117" t="n"/>
      <c r="E219" s="117" t="n"/>
      <c r="F219" s="117" t="n"/>
      <c r="G219" s="117" t="n"/>
      <c r="H219" s="117" t="n"/>
      <c r="I219" s="117" t="n"/>
      <c r="J219" s="117" t="n"/>
      <c r="K219" s="117" t="n"/>
      <c r="L219" s="117" t="n"/>
      <c r="M219" s="117" t="n"/>
      <c r="N219" s="117" t="n"/>
      <c r="O219" s="117" t="n"/>
      <c r="P219" s="117" t="n"/>
      <c r="Q219" s="117" t="n"/>
      <c r="R219" s="117" t="n"/>
      <c r="S219" s="117" t="n"/>
      <c r="T219" s="117" t="n"/>
      <c r="U219" s="117" t="n"/>
      <c r="V219" s="117" t="n"/>
      <c r="W219" s="117" t="n"/>
      <c r="X219" s="117" t="n"/>
      <c r="Y219" s="117" t="n"/>
      <c r="Z219" s="117" t="n"/>
    </row>
    <row r="220" ht="14.25" customHeight="1" s="118">
      <c r="A220" s="117" t="n"/>
      <c r="B220" s="117" t="n"/>
      <c r="C220" s="117" t="n"/>
      <c r="D220" s="117" t="n"/>
      <c r="E220" s="117" t="n"/>
      <c r="F220" s="117" t="n"/>
      <c r="G220" s="117" t="n"/>
      <c r="H220" s="117" t="n"/>
      <c r="I220" s="117" t="n"/>
      <c r="J220" s="117" t="n"/>
      <c r="K220" s="117" t="n"/>
      <c r="L220" s="117" t="n"/>
      <c r="M220" s="117" t="n"/>
      <c r="N220" s="117" t="n"/>
      <c r="O220" s="117" t="n"/>
      <c r="P220" s="117" t="n"/>
      <c r="Q220" s="117" t="n"/>
      <c r="R220" s="117" t="n"/>
      <c r="S220" s="117" t="n"/>
      <c r="T220" s="117" t="n"/>
      <c r="U220" s="117" t="n"/>
      <c r="V220" s="117" t="n"/>
      <c r="W220" s="117" t="n"/>
      <c r="X220" s="117" t="n"/>
      <c r="Y220" s="117" t="n"/>
      <c r="Z220" s="117" t="n"/>
    </row>
    <row r="221" ht="14.25" customHeight="1" s="118">
      <c r="A221" s="117" t="n"/>
      <c r="B221" s="117" t="n"/>
      <c r="C221" s="117" t="n"/>
      <c r="D221" s="117" t="n"/>
      <c r="E221" s="117" t="n"/>
      <c r="F221" s="117" t="n"/>
      <c r="G221" s="117" t="n"/>
      <c r="H221" s="117" t="n"/>
      <c r="I221" s="117" t="n"/>
      <c r="J221" s="117" t="n"/>
      <c r="K221" s="117" t="n"/>
      <c r="L221" s="117" t="n"/>
      <c r="M221" s="117" t="n"/>
      <c r="N221" s="117" t="n"/>
      <c r="O221" s="117" t="n"/>
      <c r="P221" s="117" t="n"/>
      <c r="Q221" s="117" t="n"/>
      <c r="R221" s="117" t="n"/>
      <c r="S221" s="117" t="n"/>
      <c r="T221" s="117" t="n"/>
      <c r="U221" s="117" t="n"/>
      <c r="V221" s="117" t="n"/>
      <c r="W221" s="117" t="n"/>
      <c r="X221" s="117" t="n"/>
      <c r="Y221" s="117" t="n"/>
      <c r="Z221" s="117" t="n"/>
    </row>
    <row r="222" ht="14.25" customHeight="1" s="118">
      <c r="A222" s="117" t="n"/>
      <c r="B222" s="117" t="n"/>
      <c r="C222" s="117" t="n"/>
      <c r="D222" s="117" t="n"/>
      <c r="E222" s="117" t="n"/>
      <c r="F222" s="117" t="n"/>
      <c r="G222" s="117" t="n"/>
      <c r="H222" s="117" t="n"/>
      <c r="I222" s="117" t="n"/>
      <c r="J222" s="117" t="n"/>
      <c r="K222" s="117" t="n"/>
      <c r="L222" s="117" t="n"/>
      <c r="M222" s="117" t="n"/>
      <c r="N222" s="117" t="n"/>
      <c r="O222" s="117" t="n"/>
      <c r="P222" s="117" t="n"/>
      <c r="Q222" s="117" t="n"/>
      <c r="R222" s="117" t="n"/>
      <c r="S222" s="117" t="n"/>
      <c r="T222" s="117" t="n"/>
      <c r="U222" s="117" t="n"/>
      <c r="V222" s="117" t="n"/>
      <c r="W222" s="117" t="n"/>
      <c r="X222" s="117" t="n"/>
      <c r="Y222" s="117" t="n"/>
      <c r="Z222" s="117" t="n"/>
    </row>
    <row r="223" ht="14.25" customHeight="1" s="118">
      <c r="A223" s="117" t="n"/>
      <c r="B223" s="117" t="n"/>
      <c r="C223" s="117" t="n"/>
      <c r="D223" s="117" t="n"/>
      <c r="E223" s="117" t="n"/>
      <c r="F223" s="117" t="n"/>
      <c r="G223" s="117" t="n"/>
      <c r="H223" s="117" t="n"/>
      <c r="I223" s="117" t="n"/>
      <c r="J223" s="117" t="n"/>
      <c r="K223" s="117" t="n"/>
      <c r="L223" s="117" t="n"/>
      <c r="M223" s="117" t="n"/>
      <c r="N223" s="117" t="n"/>
      <c r="O223" s="117" t="n"/>
      <c r="P223" s="117" t="n"/>
      <c r="Q223" s="117" t="n"/>
      <c r="R223" s="117" t="n"/>
      <c r="S223" s="117" t="n"/>
      <c r="T223" s="117" t="n"/>
      <c r="U223" s="117" t="n"/>
      <c r="V223" s="117" t="n"/>
      <c r="W223" s="117" t="n"/>
      <c r="X223" s="117" t="n"/>
      <c r="Y223" s="117" t="n"/>
      <c r="Z223" s="117" t="n"/>
    </row>
    <row r="224" ht="14.25" customHeight="1" s="118">
      <c r="A224" s="117" t="n"/>
      <c r="B224" s="117" t="n"/>
      <c r="C224" s="117" t="n"/>
      <c r="D224" s="117" t="n"/>
      <c r="E224" s="117" t="n"/>
      <c r="F224" s="117" t="n"/>
      <c r="G224" s="117" t="n"/>
      <c r="H224" s="117" t="n"/>
      <c r="I224" s="117" t="n"/>
      <c r="J224" s="117" t="n"/>
      <c r="K224" s="117" t="n"/>
      <c r="L224" s="117" t="n"/>
      <c r="M224" s="117" t="n"/>
      <c r="N224" s="117" t="n"/>
      <c r="O224" s="117" t="n"/>
      <c r="P224" s="117" t="n"/>
      <c r="Q224" s="117" t="n"/>
      <c r="R224" s="117" t="n"/>
      <c r="S224" s="117" t="n"/>
      <c r="T224" s="117" t="n"/>
      <c r="U224" s="117" t="n"/>
      <c r="V224" s="117" t="n"/>
      <c r="W224" s="117" t="n"/>
      <c r="X224" s="117" t="n"/>
      <c r="Y224" s="117" t="n"/>
      <c r="Z224" s="117" t="n"/>
    </row>
    <row r="225" ht="15.75" customHeight="1" s="11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11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11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11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11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11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11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11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11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11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11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11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11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11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11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11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11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11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11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11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11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11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11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11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11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11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11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11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11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11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11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11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11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11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11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11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11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11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11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11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11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11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11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11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11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11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11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11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11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11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11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11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11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11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11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11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11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11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11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11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11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11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11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11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11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11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11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11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11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11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11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11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11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11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118">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118">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118">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118">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118">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118">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118">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118">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118">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11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118">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118">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118">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118">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118">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118">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118">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118">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118">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1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118">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118">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118">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118">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118">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118">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118">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118">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118">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11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118">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118">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118">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118">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118">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118">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118">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118">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118">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11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118">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118">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118">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118">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118">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118">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118">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118">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118">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11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118">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118">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118">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118">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118">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118">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118">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118">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118">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11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118">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118">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118">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118">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118">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118">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118">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118">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118">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11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118">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118">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118">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118">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118">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118">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118">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118">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118">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11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118">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118">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118">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118">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118">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118">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118">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118">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118">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11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118">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118">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118">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118">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118">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118">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118">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118">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118">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11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118">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118">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118">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118">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118">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118">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118">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118">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118">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11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118">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118">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118">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118">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118">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118">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118">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118">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118">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1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118">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118">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118">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118">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118">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118">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118">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118">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118">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11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118">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118">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118">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118">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118">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118">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118">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118">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118">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11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118">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118">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118">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118">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118">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118">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118">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118">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118">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11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118">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118">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118">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118">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118">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118">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118">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118">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118">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11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118">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118">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118">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118">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118">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118">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118">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118">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118">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11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118">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118">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118">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118">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118">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118">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118">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118">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118">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11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118">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118">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118">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118">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118">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118">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118">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118">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118">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11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118">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118">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118">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118">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118">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118">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118">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118">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118">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11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118">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118">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118">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118">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118">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118">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118">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118">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118">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11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118">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118">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118">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118">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118">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118">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118">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118">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118">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1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118">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118">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118">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118">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118">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118">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118">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118">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118">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11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118">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118">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118">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118">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118">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118">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118">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118">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118">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11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118">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118">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118">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118">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118">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118">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118">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118">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118">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11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118">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118">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118">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118">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118">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118">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118">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118">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118">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11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118">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118">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118">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118">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118">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118">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118">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118">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118">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11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118">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118">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118">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118">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118">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118">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118">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118">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118">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11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118">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118">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118">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118">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118">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118">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118">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118">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118">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11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118">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118">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118">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118">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118">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118">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118">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118">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118">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11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118">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118">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118">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118">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118">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118">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118">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118">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118">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11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118">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118">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118">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118">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118">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118">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118">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118">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118">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1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118">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118">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118">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118">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118">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118">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118">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118">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118">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11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118">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118">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118">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118">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118">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118">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118">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118">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118">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11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118">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118">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118">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118">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118">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118">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118">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118">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118">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11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118">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118">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118">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118">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118">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118">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118">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118">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118">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11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118">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118">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118">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118">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118">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118">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118">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118">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118">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11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118">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118">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118">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118">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118">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118">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118">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118">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118">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11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118">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118">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118">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118">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118">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118">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118">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118">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118">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11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118">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118">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118">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118">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118">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118">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118">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118">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118">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11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118">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118">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118">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118">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118">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118">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118">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118">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118">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11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118">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118">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118">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118">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118">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118">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118">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118">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118">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1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118">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118">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118">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118">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118">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118">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118">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118">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118">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11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118">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118">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118">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118">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118">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118">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118">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118">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118">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11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118">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118">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118">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118">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118">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118">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118">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118">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118">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11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118">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118">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118">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118">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118">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118">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118">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118">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118">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11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118">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118">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118">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118">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118">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118">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118">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118">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118">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11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118">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118">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118">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118">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118">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118">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118">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118">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118">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11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118">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118">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118">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118">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118">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118">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118">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118">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118">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11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118">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118">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118">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118">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118">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118">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118">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118">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118">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11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118">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118">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118">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118">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118">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118">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118">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118">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118">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11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118">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118">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118">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118">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118">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118">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118">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118">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118">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1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118">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118">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118">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118">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118">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118">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118">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118">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118">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11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118">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118">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118">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118">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118">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118">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118">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118">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118">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11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118">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118">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118">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118">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118">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118">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118">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118">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118">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11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118">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118">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118">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118">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118">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118">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118">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118">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118">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11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118">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118">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118">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118">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118">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118">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118">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118">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118">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11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118">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118">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118">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118">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118">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118">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118">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118">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118">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11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118">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118">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118">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118">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118">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118">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118">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118">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118">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11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118">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118">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118">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118">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118">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118">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118">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118">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118">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11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118">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118">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118">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118">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118">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118">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118">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118">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118">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11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118">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118">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118">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118">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118">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118">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118">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118">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118">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1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118">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118">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118">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118">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118">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118">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118">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118">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118">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11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118">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118">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118">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118">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118">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118">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118">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118">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118">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11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118">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118">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118">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118">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118">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118">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118">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118">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118">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11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118">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118">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118">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118">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118">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118">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118">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118">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118">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11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118">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118">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118">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118">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118">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118">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118">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118">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118">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11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118">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118">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118">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118">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118">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118">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118">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118">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118">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11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118">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118">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118">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118">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118">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118">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118">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118">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118">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11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118">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118">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118">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118">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118">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118">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118">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118">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118">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118">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118">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118">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
    <mergeCell ref="A2:L2"/>
    <mergeCell ref="A1:L1"/>
  </mergeCells>
  <conditionalFormatting sqref="I4:I1000">
    <cfRule type="cellIs" priority="1" operator="equal" dxfId="2">
      <formula>"Critical"</formula>
    </cfRule>
    <cfRule type="cellIs" priority="2" operator="equal" dxfId="2">
      <formula>"High"</formula>
    </cfRule>
    <cfRule type="cellIs" priority="3" operator="equal" dxfId="1">
      <formula>"Medium"</formula>
    </cfRule>
    <cfRule type="cellIs" priority="4" operator="equal" dxfId="0">
      <formula>"Low"</formula>
    </cfRule>
  </conditionalFormatting>
  <conditionalFormatting sqref="K4:K1000">
    <cfRule type="cellIs" priority="5" operator="equal" dxfId="0">
      <formula>"Done"</formula>
    </cfRule>
    <cfRule type="cellIs" priority="6" operator="equal" dxfId="0">
      <formula>"Completed"</formula>
    </cfRule>
    <cfRule type="cellIs" priority="7" operator="equal" dxfId="0">
      <formula>"Closed"</formula>
    </cfRule>
    <cfRule type="cellIs" priority="8" operator="equal" dxfId="0">
      <formula>"Fixed"</formula>
    </cfRule>
    <cfRule type="cellIs" priority="9" operator="equal" dxfId="0">
      <formula>"Approved"</formula>
    </cfRule>
    <cfRule type="cellIs" priority="10" operator="equal" dxfId="1">
      <formula>"In Progress"</formula>
    </cfRule>
    <cfRule type="cellIs" priority="11" operator="equal" dxfId="2">
      <formula>"Open"</formula>
    </cfRule>
    <cfRule type="cellIs" priority="12" operator="equal" dxfId="1">
      <formula>"Pending"</formula>
    </cfRule>
    <cfRule type="cellIs" priority="13" operator="equal" dxfId="2">
      <formula>"Blocked"</formula>
    </cfRule>
    <cfRule type="cellIs" priority="14" operator="equal" dxfId="3">
      <formula>"Cancelled"</formula>
    </cfRule>
    <cfRule type="cellIs" priority="15" operator="equal" dxfId="2">
      <formula>"Rejected"</formula>
    </cfRule>
    <cfRule type="cellIs" priority="16" operator="equal" dxfId="4">
      <formula>"Submitted"</formula>
    </cfRule>
  </conditionalFormatting>
  <dataValidations count="2">
    <dataValidation sqref="K3:K201" showDropDown="0" showInputMessage="0" showErrorMessage="0" allowBlank="1" type="list">
      <formula1>"Pending,Approved,Rejected,Deferred,Implemented"</formula1>
    </dataValidation>
    <dataValidation sqref="I3:I201" showDropDown="0" showInputMessage="0" showErrorMessage="0" allowBlank="1" type="list">
      <formula1>"Critical,High,Medium,Low"</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2026-05-24T20:19:29Z</dcterms:created>
  <dcterms:modified xmlns:dcterms="http://purl.org/dc/terms/" xmlns:xsi="http://www.w3.org/2001/XMLSchema-instance" xsi:type="dcterms:W3CDTF">2026-08-09T12:42:57Z</dcterms:modified>
</cp:coreProperties>
</file>