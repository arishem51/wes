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Scope" sheetId="2" r:id="rId5"/>
    <sheet state="visible" name="WBS" sheetId="3" r:id="rId6"/>
    <sheet state="visible" name="Q&amp;A" sheetId="4" r:id="rId7"/>
    <sheet state="visible" name="TimeLogs" sheetId="5" r:id="rId8"/>
    <sheet state="visible" name="Defects" sheetId="6" r:id="rId9"/>
    <sheet state="visible" name="Issues" sheetId="7" r:id="rId10"/>
    <sheet state="visible" name="Risks" sheetId="8" r:id="rId11"/>
    <sheet state="visible" name="ChangeLog" sheetId="9" r:id="rId12"/>
  </sheets>
  <definedNames/>
  <calcPr/>
  <extLst>
    <ext uri="GoogleSheetsCustomDataVersion2">
      <go:sheetsCustomData xmlns:go="http://customooxmlschemas.google.com/" r:id="rId13" roundtripDataChecksum="hgsClUe1/TQq0e102UmiliOmk3Etl+CyzaB1c2hD7Tk="/>
    </ext>
  </extLst>
</workbook>
</file>

<file path=xl/sharedStrings.xml><?xml version="1.0" encoding="utf-8"?>
<sst xmlns="http://schemas.openxmlformats.org/spreadsheetml/2006/main" count="2124" uniqueCount="879">
  <si>
    <t>Scope — Project Deliverables &amp; Milestones</t>
  </si>
  <si>
    <t>Q&amp;A — Project Questions &amp; Answers Log</t>
  </si>
  <si>
    <t>[Project Name] — Project Tracking Dashboard</t>
  </si>
  <si>
    <t>WBS — Work Breakdown Structure (Function / Screen Level)</t>
  </si>
  <si>
    <t>Track all deliverables by stage  ·  Update Status and Actual Effort each week  ·  % Complete auto-calculated</t>
  </si>
  <si>
    <t>Auto-summary from all tracking sheets  ·  Update data in individual sheets</t>
  </si>
  <si>
    <t>Log ALL questions — technical, business, process  ·  Track from Open → Answered → Closed  ·  Never delete a row</t>
  </si>
  <si>
    <t>#</t>
  </si>
  <si>
    <t>Work Package / Deliverable</t>
  </si>
  <si>
    <t>Complexity: Simple (≤7 fields / ≤3 tx)  ·  Medium (≤15 / ≤7)  ·  Complex (&gt;15 / &gt;7)  ·  Effort: Simple=3 / Medium=5 / Complex=8 pts (default)</t>
  </si>
  <si>
    <t>In Charge</t>
  </si>
  <si>
    <t>Est. Effort (pds)</t>
  </si>
  <si>
    <t>Deadline</t>
  </si>
  <si>
    <t>% Complete</t>
  </si>
  <si>
    <t>Date</t>
  </si>
  <si>
    <t>Question</t>
  </si>
  <si>
    <t>Status</t>
  </si>
  <si>
    <t>Raised By</t>
  </si>
  <si>
    <t>Actual Effort (pds)</t>
  </si>
  <si>
    <t>Directed To</t>
  </si>
  <si>
    <t>Dependency</t>
  </si>
  <si>
    <t>Priority</t>
  </si>
  <si>
    <t>Approved By</t>
  </si>
  <si>
    <t>Due Date</t>
  </si>
  <si>
    <t>Notes</t>
  </si>
  <si>
    <t>Total Deliverables</t>
  </si>
  <si>
    <t>Answer / Resolution</t>
  </si>
  <si>
    <t xml:space="preserve">  Stage 1: Project Initiating (Week 1)</t>
  </si>
  <si>
    <t>Answered By</t>
  </si>
  <si>
    <t>Answered Date</t>
  </si>
  <si>
    <t>Done / Closed</t>
  </si>
  <si>
    <t>In Progress</t>
  </si>
  <si>
    <t>Not Started</t>
  </si>
  <si>
    <t>Open Issues</t>
  </si>
  <si>
    <t>Q-001</t>
  </si>
  <si>
    <t>Open Defects</t>
  </si>
  <si>
    <t>2024-01-08</t>
  </si>
  <si>
    <t>1.1</t>
  </si>
  <si>
    <t>[Describe the question clearly — what needs clarification?]</t>
  </si>
  <si>
    <t>KienNT</t>
  </si>
  <si>
    <t>Report 1 — Project Introduction</t>
  </si>
  <si>
    <t>Week 1</t>
  </si>
  <si>
    <t>[Assignee/Stakeholder]</t>
  </si>
  <si>
    <t>Medium</t>
  </si>
  <si>
    <t>2024-01-15</t>
  </si>
  <si>
    <t>[Answer provided here]</t>
  </si>
  <si>
    <t>Done</t>
  </si>
  <si>
    <t>Open</t>
  </si>
  <si>
    <t>Q-002</t>
  </si>
  <si>
    <t>Function / Screen</t>
  </si>
  <si>
    <t>Type</t>
  </si>
  <si>
    <t>Feature Group</t>
  </si>
  <si>
    <t>Sub-Feature</t>
  </si>
  <si>
    <t>Description</t>
  </si>
  <si>
    <t xml:space="preserve">  Stage 2: Project Planning &amp; Initial Requirements (Weeks 2–3)</t>
  </si>
  <si>
    <t>Complexity</t>
  </si>
  <si>
    <t>Est. Effort (pts)</t>
  </si>
  <si>
    <t>Planned Iteration</t>
  </si>
  <si>
    <t>Actual Effort (pts)</t>
  </si>
  <si>
    <t>2.1</t>
  </si>
  <si>
    <t>Report 3 — SRS v0.9 (Overall Requirements)</t>
  </si>
  <si>
    <t>Week 2</t>
  </si>
  <si>
    <t>Create AGV</t>
  </si>
  <si>
    <t>Screen</t>
  </si>
  <si>
    <t>Q-003</t>
  </si>
  <si>
    <t>2.2</t>
  </si>
  <si>
    <t>Vertical Prototypes (Code Demo)</t>
  </si>
  <si>
    <t>FE-01: AGV Fleet Management</t>
  </si>
  <si>
    <t>AGV Profile</t>
  </si>
  <si>
    <t>Week 3</t>
  </si>
  <si>
    <t>Add a new AGV to the system database.</t>
  </si>
  <si>
    <t>Simple</t>
  </si>
  <si>
    <t>Q-004</t>
  </si>
  <si>
    <t>Iteration 1</t>
  </si>
  <si>
    <t>2.3</t>
  </si>
  <si>
    <t>Report 2 — Project Management Plan v1.0</t>
  </si>
  <si>
    <t>HungPV</t>
  </si>
  <si>
    <t>Q-005</t>
  </si>
  <si>
    <t xml:space="preserve">  Stage 3: Software Design (Weeks 4–5)</t>
  </si>
  <si>
    <t>Unanswered Q&amp;As</t>
  </si>
  <si>
    <t>High/Critical Risks</t>
  </si>
  <si>
    <t>3.1</t>
  </si>
  <si>
    <t>Vertical Prototypes (POC / Proof of Concepts)</t>
  </si>
  <si>
    <t>Update AGV information</t>
  </si>
  <si>
    <t>Week 4</t>
  </si>
  <si>
    <t>Q-006</t>
  </si>
  <si>
    <t>Modify existing AGV details (name, model, etc.).</t>
  </si>
  <si>
    <t>3.2</t>
  </si>
  <si>
    <t>Report 4 — SDS v1.0 (High Level Design)</t>
  </si>
  <si>
    <t>Q-007</t>
  </si>
  <si>
    <t>Delete AGV</t>
  </si>
  <si>
    <t>Remove an AGV record from the system.</t>
  </si>
  <si>
    <t>3.3</t>
  </si>
  <si>
    <t>Q-008</t>
  </si>
  <si>
    <t>Report 5 — Test Planning</t>
  </si>
  <si>
    <t>Week 5</t>
  </si>
  <si>
    <t>Q-009</t>
  </si>
  <si>
    <t>View AGV list</t>
  </si>
  <si>
    <t>3.4</t>
  </si>
  <si>
    <t>Report 3 — SRS v1.0 (Detailed — Iteration 1)</t>
  </si>
  <si>
    <t>Display a paginated table of all registered AGVs.</t>
  </si>
  <si>
    <t xml:space="preserve">  Stage 4a: Implementation — Iteration 1 (Weeks 6–7)</t>
  </si>
  <si>
    <t>Q-010</t>
  </si>
  <si>
    <t>4.1.1</t>
  </si>
  <si>
    <t>Report 4 — SDS v1.1 (Detailed Design)</t>
  </si>
  <si>
    <t>Week 6</t>
  </si>
  <si>
    <t>View AGV details</t>
  </si>
  <si>
    <t>Scope Milestone Status</t>
  </si>
  <si>
    <t>Q-011</t>
  </si>
  <si>
    <t>Show specific properties and current status of an AGV.</t>
  </si>
  <si>
    <t>4.1.2</t>
  </si>
  <si>
    <t>Code Package &amp; Unit Testing Report — Iteration 1</t>
  </si>
  <si>
    <t>Q-012</t>
  </si>
  <si>
    <t>Stage</t>
  </si>
  <si>
    <t>4.1.3</t>
  </si>
  <si>
    <t>Configure critical battery threshold</t>
  </si>
  <si>
    <t>Report 5 — Integration Test Cases — Iteration 1</t>
  </si>
  <si>
    <t>Key Deliverable</t>
  </si>
  <si>
    <t>AGV Configuration</t>
  </si>
  <si>
    <t>Set the critical battery percentage at or below which an AGV must go and charge.</t>
  </si>
  <si>
    <t>4.1.4</t>
  </si>
  <si>
    <t>Report 5 — Integration Test Report — Iteration 1</t>
  </si>
  <si>
    <t>Week 7</t>
  </si>
  <si>
    <t>Q-013</t>
  </si>
  <si>
    <t>Stage 1</t>
  </si>
  <si>
    <t>4.1.5</t>
  </si>
  <si>
    <t>Report 3 — SRS v1.1 (Detailed — Iteration 2)</t>
  </si>
  <si>
    <t>Report 1 (Project Introduction)</t>
  </si>
  <si>
    <t>Configure sufficient battery threshold</t>
  </si>
  <si>
    <t>4.1.6</t>
  </si>
  <si>
    <t>Software Package Version 1</t>
  </si>
  <si>
    <t>Set the battery percentage at or above which a charging AGV is sufficiently charged to rejoin dispatch.</t>
  </si>
  <si>
    <t>Backend xong: trường sufficientBatteryThreshold (mặc định 60) đã có trong API và Charge Engine dùng để nhả xe; còn thiếu ô nhập trên UI.</t>
  </si>
  <si>
    <t>Enable AGV to accept requests</t>
  </si>
  <si>
    <t xml:space="preserve">  Stage 4b: Implementation — Iteration 2 (Weeks 8–9)</t>
  </si>
  <si>
    <t>AGV Status Control</t>
  </si>
  <si>
    <t>Q-014</t>
  </si>
  <si>
    <t>Manually allow an AGV to receive dispatch commands.</t>
  </si>
  <si>
    <t>4.2.1</t>
  </si>
  <si>
    <t>Report 4 — SDS v1.2</t>
  </si>
  <si>
    <t>Week 8</t>
  </si>
  <si>
    <t>Đã giao trên bảng điều khiển xe của bản đồ vận hành (nút "Nhận việc"), không nằm ở màn hình Đội AGV: POST /agvs/{id}/enable ghi is_dispatch_enabled, điều phối đọc lại ở dispatch/parking/charge policy.</t>
  </si>
  <si>
    <t>Disable AGV from accepting requests</t>
  </si>
  <si>
    <t>Stage 2</t>
  </si>
  <si>
    <t>Manually stop an AGV from receiving new dispatch commands.</t>
  </si>
  <si>
    <t>4.2.2</t>
  </si>
  <si>
    <t>SRS v0.9 + Project Management Plan</t>
  </si>
  <si>
    <t>Code Package &amp; Unit Testing Report — Iteration 2</t>
  </si>
  <si>
    <t>Đã giao trên bảng điều khiển xe của bản đồ vận hành (nút "Ngừng nhận việc", có bước xác nhận): POST /agvs/{id}/disable.</t>
  </si>
  <si>
    <t>4.2.3</t>
  </si>
  <si>
    <t>Ignore AGV from the system</t>
  </si>
  <si>
    <t>Report 5 — Integration Test Cases — Iteration 2</t>
  </si>
  <si>
    <t>Q-015</t>
  </si>
  <si>
    <t>Exclude an AGV from orchestration without deleting it.</t>
  </si>
  <si>
    <t>Đã giao trên bảng điều khiển xe của bản đồ vận hành (nút "Bỏ qua", có bước xác nhận): POST /agvs/{id}/ignore ghi is_ignored và đặt integration level TO_BE_RESPECTED để xe vẫn là vật cản định tuyến.</t>
  </si>
  <si>
    <t>4.2.4</t>
  </si>
  <si>
    <t>Report 5 — Integration Test Report — Iteration 2</t>
  </si>
  <si>
    <t>Week 9</t>
  </si>
  <si>
    <t>Restore ignored AGV</t>
  </si>
  <si>
    <t>Re-include an ignored AGV back into orchestration.</t>
  </si>
  <si>
    <t>Stage 3</t>
  </si>
  <si>
    <t>SDS v1.0 + Test Planning</t>
  </si>
  <si>
    <t>4.2.5</t>
  </si>
  <si>
    <t>Report 3 — SRS v1.2 (Detailed — Iteration 3)</t>
  </si>
  <si>
    <t>Q-016</t>
  </si>
  <si>
    <t>Đã giao trên bảng điều khiển xe của bản đồ vận hành (nút "Khôi phục"): POST /agvs/{id}/restore xoá is_ignored, bật lại nhận việc và đưa integration level về TO_BE_UTILIZED.</t>
  </si>
  <si>
    <t>4.2.6</t>
  </si>
  <si>
    <t>Software Package Version 2</t>
  </si>
  <si>
    <t>Activate / Deactivate AGV</t>
  </si>
  <si>
    <t xml:space="preserve">  Stage 4c: Implementation — Iteration 3 (Weeks 10–11)</t>
  </si>
  <si>
    <t>Enable or disable an AGV's link to the fleet kernel so that only vehicles physically present and ready are tracked and controlled.</t>
  </si>
  <si>
    <t>4.3.1</t>
  </si>
  <si>
    <t>Report 4 — SDS v1.3</t>
  </si>
  <si>
    <t>Stage 4</t>
  </si>
  <si>
    <t>Implementation Iterations 1–3</t>
  </si>
  <si>
    <t>Week 10</t>
  </si>
  <si>
    <t>Week 11</t>
  </si>
  <si>
    <t>Q-017</t>
  </si>
  <si>
    <t>4.3.2</t>
  </si>
  <si>
    <t>Code Package &amp; Unit Testing Report — Iteration 3</t>
  </si>
  <si>
    <t>Runtime state: a kernel restart requires re-activating every vehicle.</t>
  </si>
  <si>
    <t>4.3.3</t>
  </si>
  <si>
    <t>Report 5 — Integration Test Cases — Iteration 3</t>
  </si>
  <si>
    <t>Handle AGV disconnection mid-task</t>
  </si>
  <si>
    <t>Stage 5</t>
  </si>
  <si>
    <t>Non-UI</t>
  </si>
  <si>
    <t>System Test Report + User Guides + UAT</t>
  </si>
  <si>
    <t>Week 13</t>
  </si>
  <si>
    <t>4.3.4</t>
  </si>
  <si>
    <t>Report 5 — Integration Test Report — Iteration 3</t>
  </si>
  <si>
    <t>Fault Handling</t>
  </si>
  <si>
    <t>Detect an AGV that stops communicating mid-task, exclude it from new assignments, and keep its position reserved so routing plans around it.</t>
  </si>
  <si>
    <t>Complex</t>
  </si>
  <si>
    <t>Q-018</t>
  </si>
  <si>
    <t>4.3.5</t>
  </si>
  <si>
    <t>Report 5 — System Test Cases</t>
  </si>
  <si>
    <t>Stage 6</t>
  </si>
  <si>
    <t>Final Report + Presentation</t>
  </si>
  <si>
    <t>4.3.6</t>
  </si>
  <si>
    <t>Week 14</t>
  </si>
  <si>
    <t>Software Package Version 3</t>
  </si>
  <si>
    <t xml:space="preserve">  Stage 5: Verification &amp; Validation (Weeks 12–13)</t>
  </si>
  <si>
    <t>Filter AGVs by status</t>
  </si>
  <si>
    <t>Q-019</t>
  </si>
  <si>
    <t>5.1</t>
  </si>
  <si>
    <t>AGV Search &amp; Filter</t>
  </si>
  <si>
    <t>Report 5 — System Test Report</t>
  </si>
  <si>
    <t>Filter the AGV list by online, offline, charging, error, etc.</t>
  </si>
  <si>
    <t>Week 12</t>
  </si>
  <si>
    <t>WBS by Iteration</t>
  </si>
  <si>
    <t>Iteration</t>
  </si>
  <si>
    <t>5.2</t>
  </si>
  <si>
    <t>Report 6 — User Guides (Installation + User Manuals)</t>
  </si>
  <si>
    <t>Planned Functions</t>
  </si>
  <si>
    <t>In Process</t>
  </si>
  <si>
    <t>Q-020</t>
  </si>
  <si>
    <t>View AGV operation history</t>
  </si>
  <si>
    <t>5.3</t>
  </si>
  <si>
    <t>Acceptance Test and Support</t>
  </si>
  <si>
    <t>AGV History</t>
  </si>
  <si>
    <t>Display the timeline of tasks and movements for an AGV.</t>
  </si>
  <si>
    <t>5.4</t>
  </si>
  <si>
    <t>Final Software Package (Docs + Source Codes)</t>
  </si>
  <si>
    <t xml:space="preserve">  Stage 6: Closing (Week 14)</t>
  </si>
  <si>
    <t>View AGV error history</t>
  </si>
  <si>
    <t>6.1</t>
  </si>
  <si>
    <t>Report 7 — Final Project Report</t>
  </si>
  <si>
    <t>Display the log of physical or software errors (e.g., E_STOP).</t>
  </si>
  <si>
    <t>Iteration 2</t>
  </si>
  <si>
    <t>6.2</t>
  </si>
  <si>
    <t>Presentation File</t>
  </si>
  <si>
    <t>Upload new operation map</t>
  </si>
  <si>
    <t>FE-02: Warehouse Map &amp; Topology</t>
  </si>
  <si>
    <t>Map Management</t>
  </si>
  <si>
    <t>Upload a new base map file (layout/grids).</t>
  </si>
  <si>
    <t>Iteration 3</t>
  </si>
  <si>
    <t>Create operational location</t>
  </si>
  <si>
    <t>Location Management</t>
  </si>
  <si>
    <t>Group points to define a pickup/drop-off/charge area.</t>
  </si>
  <si>
    <t>Last updated: [DD/MM/YYYY]  |  Project: [Project Name]  |  PM: [Name]</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</si>
  <si>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</si>
  <si>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</si>
  <si>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</si>
  <si>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</si>
  <si>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</si>
  <si>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</si>
  <si>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</si>
  <si>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</si>
  <si>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</si>
  <si>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</si>
  <si>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</si>
  <si>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</si>
  <si>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</si>
  <si>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</si>
  <si>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</si>
  <si>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</si>
  <si>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</si>
  <si>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</si>
  <si>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</si>
  <si>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</si>
  <si>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</si>
  <si>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</si>
  <si>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</si>
  <si>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</si>
  <si>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</si>
  <si>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</si>
  <si>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</si>
  <si>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</si>
  <si>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</si>
  <si>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</si>
  <si>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Bỏ khỏi scope: request invalid không được lưu (fail-fast), xem SRS BR-07.</t>
  </si>
  <si>
    <t>TimeLogs — Project Timesheets</t>
  </si>
  <si>
    <t>View reason for invalid transport request</t>
  </si>
  <si>
    <t>Log time daily  ·  Link every entry to a WBS Ref  ·  Approved by PM  ·  # Hours must be filled — leave no blank</t>
  </si>
  <si>
    <t>Show why a request was rejected (e.g., bad coordinates).</t>
  </si>
  <si>
    <t>Reporter</t>
  </si>
  <si>
    <t>View AGV assigned to the request</t>
  </si>
  <si>
    <t>WBS Ref</t>
  </si>
  <si>
    <t>Task Description</t>
  </si>
  <si>
    <t>Execution Tracking</t>
  </si>
  <si>
    <t>Display which AGV is currently handling the task.</t>
  </si>
  <si>
    <t>Activity</t>
  </si>
  <si>
    <t># Hours</t>
  </si>
  <si>
    <t>Product / Work Product</t>
  </si>
  <si>
    <t>Đã giao trên bản đồ vận hành, không nằm ở bảng Cargo: cargo được vẽ bám theo xe khi visual.state = ON_AGV (useMapShapes.tsx).</t>
  </si>
  <si>
    <t>View transport request execution progress</t>
  </si>
  <si>
    <t>Updated</t>
  </si>
  <si>
    <t>Track real-time progress of the task fulfillment.</t>
  </si>
  <si>
    <t>TL-001</t>
  </si>
  <si>
    <t>Đã giao trên bản đồ vận hành: nhãn trạng thái task hiển thị ở MapCargoPanel.tsx.</t>
  </si>
  <si>
    <t>2024-10-13</t>
  </si>
  <si>
    <t>View reason for unassigned request</t>
  </si>
  <si>
    <t>Show why a task is stuck in the queue (e.g., no free AGV).</t>
  </si>
  <si>
    <t>WBS-1</t>
  </si>
  <si>
    <t>Set up project repository and CI pipeline</t>
  </si>
  <si>
    <t>Coding</t>
  </si>
  <si>
    <t>Newly-Created</t>
  </si>
  <si>
    <t>View selected pickup point for the request</t>
  </si>
  <si>
    <t>Software Package</t>
  </si>
  <si>
    <t>Display the exact calculated node for the pickup action.</t>
  </si>
  <si>
    <t>Submitted</t>
  </si>
  <si>
    <t>2024-10-26</t>
  </si>
  <si>
    <t>TL-002</t>
  </si>
  <si>
    <t>View selected drop-off point for the request</t>
  </si>
  <si>
    <t>WBS-2</t>
  </si>
  <si>
    <t>Display the exact calculated node for the drop-off action.</t>
  </si>
  <si>
    <t>Implement user login API with JWT</t>
  </si>
  <si>
    <t>View reason for no valid pickup/drop-off point</t>
  </si>
  <si>
    <t>Explain logic failure when generating exact target nodes.</t>
  </si>
  <si>
    <t>TL-003</t>
  </si>
  <si>
    <t>Create cargo</t>
  </si>
  <si>
    <t>Cargo Management</t>
  </si>
  <si>
    <t>Register a cargo entry in the system with source point and destination location, initiating the transport request lifecycle.</t>
  </si>
  <si>
    <t>TL-004</t>
  </si>
  <si>
    <t>Delete cargo</t>
  </si>
  <si>
    <t>TL-005</t>
  </si>
  <si>
    <t>Remove a cargo record from the system and automatically cancel any linked transport task that has not yet reached PICKUP_COMPLETED state.</t>
  </si>
  <si>
    <t>TL-006</t>
  </si>
  <si>
    <t>View cargo list</t>
  </si>
  <si>
    <t>Display a paginated list of all cargo entries, filterable by status (Active, Delivered, Cancelled).</t>
  </si>
  <si>
    <t>TL-007</t>
  </si>
  <si>
    <t>View cargo details</t>
  </si>
  <si>
    <t>Show full information of a specific cargo entry including source, destination, linked transport task, and status history.</t>
  </si>
  <si>
    <t>TL-008</t>
  </si>
  <si>
    <t>Configure AGV dispatch policy</t>
  </si>
  <si>
    <t xml:space="preserve">FE-04: Dispatch Orchestration &amp; Release Control</t>
  </si>
  <si>
    <t>Policy Configuration</t>
  </si>
  <si>
    <t>TL-009</t>
  </si>
  <si>
    <t>Define rules for task prioritization and assignment logic.</t>
  </si>
  <si>
    <t>TL-010</t>
  </si>
  <si>
    <t>Update AGV dispatch policy</t>
  </si>
  <si>
    <t>Modify existing dispatch and orchestration rules.</t>
  </si>
  <si>
    <t>TL-011</t>
  </si>
  <si>
    <t>Queue Management</t>
  </si>
  <si>
    <t>View the list of requests waiting to be orchestrated.</t>
  </si>
  <si>
    <t>TL-012</t>
  </si>
  <si>
    <t>View details of a request in dispatch queue</t>
  </si>
  <si>
    <t>Defects — Bug &amp; Defect Tracking Log</t>
  </si>
  <si>
    <t>TL-013</t>
  </si>
  <si>
    <t>Examine specific orchestration parameters of a queued task.</t>
  </si>
  <si>
    <t>Log ALL defects found in any review or test  ·  Severity: Critical / High / Medium / Low  ·  Status: Pending → Open → Fixed → Closed</t>
  </si>
  <si>
    <t>TL-014</t>
  </si>
  <si>
    <t>View blocked dispatch requests</t>
  </si>
  <si>
    <t>Display tasks that cannot be dispatched due to logic blocks.</t>
  </si>
  <si>
    <t>Date Found</t>
  </si>
  <si>
    <t>Defect Description</t>
  </si>
  <si>
    <t>Steps to Reproduce</t>
  </si>
  <si>
    <t>Expected Result</t>
  </si>
  <si>
    <t>Actual Result</t>
  </si>
  <si>
    <t>Severity</t>
  </si>
  <si>
    <t>Product</t>
  </si>
  <si>
    <t>TL-015</t>
  </si>
  <si>
    <t>View reason for held-back requests</t>
  </si>
  <si>
    <t>Product Details</t>
  </si>
  <si>
    <t>Assigned By</t>
  </si>
  <si>
    <t>Assigned To</t>
  </si>
  <si>
    <t>Show physical/logic constraints preventing dispatch (e.g., out of order).</t>
  </si>
  <si>
    <t>Fixed Date</t>
  </si>
  <si>
    <t>Fixed In Version</t>
  </si>
  <si>
    <t>D-001</t>
  </si>
  <si>
    <t>2026-07-20</t>
  </si>
  <si>
    <t>View traffic congestion alerts</t>
  </si>
  <si>
    <t>TL-016</t>
  </si>
  <si>
    <t>Deleting an operational location does not check for cargo still referencing it</t>
  </si>
  <si>
    <t>Traffic Control</t>
  </si>
  <si>
    <t>1. Create cargo whose destination is zone Z. 2. Before delivery, delete zone Z.</t>
  </si>
  <si>
    <t>Dashboard alert indicating a traffic jam in a block/path.</t>
  </si>
  <si>
    <t>Deletion is refused while active cargo references the zone</t>
  </si>
  <si>
    <t>Zone is soft-deleted and its locations are stripped from the openTCS plant model; the in-flight task breaks</t>
  </si>
  <si>
    <t>High</t>
  </si>
  <si>
    <t>Review</t>
  </si>
  <si>
    <t>View deadlock risk alerts</t>
  </si>
  <si>
    <t>Dashboard alert indicating potential AGV deadlocks.</t>
  </si>
  <si>
    <t>TL-017</t>
  </si>
  <si>
    <t>ZoneService.remove() has no guard. Fix together with BR-12.</t>
  </si>
  <si>
    <t>D-002</t>
  </si>
  <si>
    <t>View projected AGV route</t>
  </si>
  <si>
    <t>Deactivating an AGV removes it from the kernel entirely instead of leaving it in place as a static obstacle. AgvsService.disconnect() sets the vehicle's integration level to TO_BE_IGNORED and then disables the communication adapter.</t>
  </si>
  <si>
    <t>Route Analysis</t>
  </si>
  <si>
    <t>Visualize the planned pathing array for an AGV on the map.</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</si>
  <si>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</si>
  <si>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</si>
  <si>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</si>
  <si>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TL-018</t>
  </si>
  <si>
    <t>wes/src/agvs/agvs.service.ts:206</t>
  </si>
  <si>
    <t>Tech Lead</t>
  </si>
  <si>
    <t>View system's reason for AGV selection</t>
  </si>
  <si>
    <t>Display the heuristic/logic used to assign a specific AGV.</t>
  </si>
  <si>
    <t>openTCS provides TO_BE_RESPECTED for exactly this case - not dispatched, but its position still respected by the router. The change is one REST call, not new functionality.</t>
  </si>
  <si>
    <t>D-003</t>
  </si>
  <si>
    <t>TL-019</t>
  </si>
  <si>
    <t>The zones and cargo controllers are guarded by authentication only, not by role, so any authenticated user including an Operator can call every mutation on those modules - including delete.</t>
  </si>
  <si>
    <t>1. Log in as a user holding the operator role. 2. Send DELETE /zones/{id} using that user's token.</t>
  </si>
  <si>
    <t>The request is rejected with 403 Forbidden, as it is on the AGV and dispatch-policy controllers.</t>
  </si>
  <si>
    <t>The request succeeds and the record is deleted.</t>
  </si>
  <si>
    <t>Critical</t>
  </si>
  <si>
    <t>Manage availability status of station/location</t>
  </si>
  <si>
    <t>wes/src/zones/zone.controller.ts:16; wes/src/cargo/cargo.controller.ts:19</t>
  </si>
  <si>
    <t>Resource Allocation</t>
  </si>
  <si>
    <t>Toggle whether a station/location can accept new tasks.</t>
  </si>
  <si>
    <t>TL-020</t>
  </si>
  <si>
    <t>Both declare @UseGuards(JwtAuthGuard) only. For comparison agvs.controller.ts:21 and dispatch-policy.controller.ts:22 declare @UseGuards(JwtAuthGuard, RolesGuard) with @Roles('admin'). These are the only two controllers with no role check.</t>
  </si>
  <si>
    <t>D-004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</si>
  <si>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</si>
  <si>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</si>
  <si>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</si>
  <si>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</si>
  <si>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View overall operation dashboard</t>
  </si>
  <si>
    <t>FE-05: Operational Monitoring Dashboard</t>
  </si>
  <si>
    <t>wes/src/agvs/entities/agv.entity.ts:33</t>
  </si>
  <si>
    <t>Real-time Dashboard</t>
  </si>
  <si>
    <t>High-level overview of system health and active operations.</t>
  </si>
  <si>
    <t>TL-021</t>
  </si>
  <si>
    <t>Closed</t>
  </si>
  <si>
    <t>2026-07-28</t>
  </si>
  <si>
    <t>Đã giao: route /dashboard (DashboardView.tsx) + API GET /dashboard/kpi.</t>
  </si>
  <si>
    <t>Closed 2026-07-28. The write path now exists: POST /agvs/{id}/ignore and /restore (agvs.controller.ts:71-81) write is_ignored and push the kernel integration level (TO_BE_RESPECTED / TO_BE_UTILIZED) in agvs.service.ts:181-207; /enable and /disable do the same for is_dispatch_enabled. Eligibility is enforced in dispatch.policy.ts:19-20, parking.policy.ts:51-52 and charge.policy.ts:25-26, each covered by unit tests, and all four actions are exposed on the operation-map vehicle panel (wes-client/src/features/map/VehicleControlPanel.tsx:308-351, mounted from MapCanvas.tsx:352). Verified by code inspection on 2026-07-28; no live UI retest was run. WBS #8-#11 moved to Done accordingly. Original finding: the flag was declared and read in three places but never written by any DTO, endpoint or service method.</t>
  </si>
  <si>
    <t>D-005</t>
  </si>
  <si>
    <t>The k-robustness safety buffer is honoured on only one of the two planning paths. The windowed PIBT fallback enforces it; the LaCAM search does not, and a plan violating the requested buffer is still returned and executed.</t>
  </si>
  <si>
    <t>TL-022</t>
  </si>
  <si>
    <t>1. Set kRobust to 1. 2. Run a scenario in which the LaCAM search, not the windowed fallback, produces the plan. 3. Read the kernel log.</t>
  </si>
  <si>
    <t>A plan violating the requested buffer is rejected and the solver falls back to one that satisfies it.</t>
  </si>
  <si>
    <t>View real-time operation map</t>
  </si>
  <si>
    <t>The plan is returned and used; the violation is only reported as an error in the log.</t>
  </si>
  <si>
    <t>2D canvas displaying the layout, topology, and active grids.</t>
  </si>
  <si>
    <t>TL-023</t>
  </si>
  <si>
    <t>LacamSolver.java:399; PibtEngine.java:311,329</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</si>
  <si>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</si>
  <si>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TL-024</t>
  </si>
  <si>
    <t>D-006</t>
  </si>
  <si>
    <t>View AGV live preview on map</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</si>
  <si>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</si>
  <si>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</si>
  <si>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</si>
  <si>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Real-time positional tracking of AGVs on the operation map.</t>
  </si>
  <si>
    <t>The property is absent and no warning is emitted.</t>
  </si>
  <si>
    <t>TL-025</t>
  </si>
  <si>
    <t>wes/src/opentcs/map-loader/opentcs-xml.parser.ts:259</t>
  </si>
  <si>
    <t>View completed requests KPI</t>
  </si>
  <si>
    <t>TL-026</t>
  </si>
  <si>
    <t>KPI Metrics</t>
  </si>
  <si>
    <t>Chart/metric showing total completed tasks over time.</t>
  </si>
  <si>
    <t>Only VehicleDto declares a properties field (line 46); PointDto, PathDto, LocationDto and BlockDto do not. Same defect class as the vehicle-property loss recorded in Issue I-005, which remains open for this reason.</t>
  </si>
  <si>
    <t>D-007</t>
  </si>
  <si>
    <t>2026-07-25</t>
  </si>
  <si>
    <t>On the operation map the cargo box stays drawn at its pick-up point after the AGV has already picked it up and driven away. Vehicles are drawn from a live SSE stream while cargo state is polled every 5 seconds, so the two layers are never in step.</t>
  </si>
  <si>
    <t>1. Open Bản đồ → Xem vận hành with at least one AGV in service. 2. Create a cargo and wait for it to be dispatched. 3. Watch the AGV arrive at the pick-up point, complete the pick-up and drive away.</t>
  </si>
  <si>
    <t>The cargo box moves onto the AGV in the same moment the AGV starts driving away from the pick-up point.</t>
  </si>
  <si>
    <t>Đã giao: thẻ số đơn hoàn thành trên Dashboard (KpiResponse.completed).</t>
  </si>
  <si>
    <t>The AGV drives away with an empty back; the cargo box jumps onto it up to 5 seconds later, and does not move at all while the browser window is unfocused.</t>
  </si>
  <si>
    <t>TL-027</t>
  </si>
  <si>
    <t>System Test</t>
  </si>
  <si>
    <t>wes-client/src/features/map/queries.ts:38; wes-client/src/features/map/useMapShapes.tsx:573</t>
  </si>
  <si>
    <t>View average transport time KPI</t>
  </si>
  <si>
    <t>TL-028</t>
  </si>
  <si>
    <t>Chart/metric showing average end-to-end task completion time.</t>
  </si>
  <si>
    <t>Only the state flip is late, not the drawing - once visual.state is ON_AGV the box follows the vehicle live. The backend publishes ON_AGV as soon as the task reaches DELIVERING, which TransportTaskSaga sets in the same handler that creates the approach order, i.e. at the moment the vehicle starts moving. The delay is entirely client-side: useCanvasCargosQuery polls on a 5s interval and react-query's refetchIntervalInBackground defaults to false, so the poll stops while the window is unfocused. Fix: push cargo/task changes over the existing SSE channel, or invalidate the cargo query when a vehicle frame reports a procState change.</t>
  </si>
  <si>
    <t>D-008</t>
  </si>
  <si>
    <t>When the vehicle SSE stream drops, the operation map silently freezes: vehicles stay drawn at their last known position and only a full page reload brings the map back to life.</t>
  </si>
  <si>
    <t>1. Open Bản đồ → Xem vận hành while AGVs are moving. 2. Break the stream - restart the WES backend, or make /api/maps/kernel/sse return an error through the dev proxy. 3. Keep watching the canvas without reloading.</t>
  </si>
  <si>
    <t>Đã giao: thẻ thời gian vận chuyển trung bình (KpiResponse.avgTransportSeconds).</t>
  </si>
  <si>
    <t>The client reconnects on its own and vehicles keep moving; while it is disconnected the operator is told the live view is stale.</t>
  </si>
  <si>
    <t>Vehicles freeze at their last position with no warning of any kind, and only F5 restores live movement.</t>
  </si>
  <si>
    <t>TL-029</t>
  </si>
  <si>
    <t>View AGV utilization rate KPI</t>
  </si>
  <si>
    <t>wes-client/src/features/map/useVehicleTracking.ts:23; wes-client/src/lib/query.ts:3</t>
  </si>
  <si>
    <t>Chart/metric showing the percentage of time AGVs are active.</t>
  </si>
  <si>
    <t>TL-030</t>
  </si>
  <si>
    <t>The EventSource is created once with an onmessage handler and no onerror handler, so a failed stream is neither retried by the app nor surfaced to the operator; the browser's own retry covers a clean transport drop, not an HTTP error response such as the one a backend restart produces through the dev proxy. Nothing else refreshes the fleet: the kernel-vehicles query has no refetchInterval and the global query defaults set refetchOnWindowFocus to false with staleTime 10s, so once the stream is gone the snapshot is never fetched again. Fix: handle onerror with a backoff reconnect, refetch the vehicle snapshot on every (re)connect, and show a disconnected banner.</t>
  </si>
  <si>
    <t>D-009</t>
  </si>
  <si>
    <t>Every vehicle frame arriving on the SSE stream re-renders the whole operation map and writes a console.log line. One vehicle changing position rebuilds the Konva shapes of every vehicle and every cargo, so the canvas gets heavier as the fleet grows.</t>
  </si>
  <si>
    <t>TL-031</t>
  </si>
  <si>
    <t>1. Open Bản đồ → Xem vận hành with the full fleet in service. 2. Open the browser devtools console. 3. Pan, zoom and select vehicles while they are moving.</t>
  </si>
  <si>
    <t>View active AGVs count KPI</t>
  </si>
  <si>
    <t>A frame for one vehicle updates that vehicle only, and the client logs nothing to the console.</t>
  </si>
  <si>
    <t>Each frame replaces the whole vehicle array, so all vehicle and cargo shapes are recomputed, and each frame prints a formatted console line - the kernel heartbeat alone pushes one frame per vehicle every 5 seconds on top of the live movement frames.</t>
  </si>
  <si>
    <t>Simple counter of currently online and operating AGVs.</t>
  </si>
  <si>
    <t>wes-client/src/features/map/useVehicleTracking.ts:41; wes-client/src/features/map/MapCanvasTab.tsx:51</t>
  </si>
  <si>
    <t>Đã giao: thẻ số xe đang chạy (KpiResponse.fleet.executing / online / registered).</t>
  </si>
  <si>
    <t>Hours Summary</t>
  </si>
  <si>
    <t>setQueryData returns a new array for every frame, so vehicleMap, useVehicleShapes and useCargoShapes all recompute; MapCanvasTab additionally rebuilds activeCargos with a fresh filter on each render, which busts the cargo shape memo even when nothing changed. The console.log at useVehicleTracking.ts:41 also violates the no-console.log rule in wes-client/CLAUDE.md. Fix: drop the log, memoise activeCargos, and keep object identity for vehicles whose frame changed nothing.</t>
  </si>
  <si>
    <t>D-010</t>
  </si>
  <si>
    <t>View transport request fail rate KPI</t>
  </si>
  <si>
    <t>Total Hours</t>
  </si>
  <si>
    <t>Park-point claims were released whenever the vehicle's transport order changed, instead of when the claimed park order itself ended. PointReservationStore.reconcile() dropped a claim as soon as vehicle.transportOrder was non-null, so a cargo order, a charge order or a manually issued Move order all cleared a claim whose park order was still queued in the kernel. WES then issued duplicate park orders and sent a second vehicle to a point already promised to another.</t>
  </si>
  <si>
    <t>1. Run a cargo batch with the full fleet. 2. Query the kernel's transport orders filtered by one vehicle. 3. Compare the number of PARK-* orders created against the number of deliveries.</t>
  </si>
  <si>
    <t>Training</t>
  </si>
  <si>
    <t>At most one live park order per vehicle, and a park point held for that vehicle until it arrives or its order reaches a final state.</t>
  </si>
  <si>
    <t>Chart/metric calculating the percentage of failed tasks.</t>
  </si>
  <si>
    <t>Four park orders for the same vehicle within 22 seconds and 214 park orders for 80 deliveries. Vehicles were ordered onto points another vehicle already occupied; because openTCS applies no timeout to a transport order, such a vehicle waits at the adjacent point indefinitely and an operator has to withdraw the order by hand.</t>
  </si>
  <si>
    <t>Đã giao: thẻ tỉ lệ lỗi (KpiResponse.failureRate).</t>
  </si>
  <si>
    <t>wes/src/cargo/point-reservation.store.ts:36 (deleted) - replaced by wes/src/cargo/park-claim.store.ts</t>
  </si>
  <si>
    <t>Fixed</t>
  </si>
  <si>
    <t>2026-07-29</t>
  </si>
  <si>
    <t>View average AGV assignment wait time KPI</t>
  </si>
  <si>
    <t>Analyzing</t>
  </si>
  <si>
    <t>Fixed 2026-07-29. The release rule now compares the exact order name and, when the vehicle snapshot cannot settle it, asks the kernel for that order's state. Park orders fell from 214 to 4 on a comparable run. Evidence: wes/report/park-claims-findings.md; rules: ARCHITECTURE.md 6.4.</t>
  </si>
  <si>
    <t>Chart/metric showing average time a task waits in queue.</t>
  </si>
  <si>
    <t>Designing</t>
  </si>
  <si>
    <t>Đã giao: thẻ thời gian chờ gán xe trung bình (KpiResponse.avgAssignmentWaitSeconds).</t>
  </si>
  <si>
    <t>D-011</t>
  </si>
  <si>
    <t>Park-point claims lived only in process memory, so every backend restart dropped them and a point already promised to one vehicle was handed to a second.</t>
  </si>
  <si>
    <t>Testing</t>
  </si>
  <si>
    <t>1. Let an idle vehicle be issued a park order to point P. 2. While that order is still queued in the kernel and the vehicle has not yet reached P, restart the backend - under `pnpm start:dev` any file save does this. 3. Observe which park point the next idle vehicle is sent to.</t>
  </si>
  <si>
    <t>View throughput by time frame KPI</t>
  </si>
  <si>
    <t>P stays claimed for the first vehicle until it arrives or its order reaches a final state, so no second vehicle is sent there.</t>
  </si>
  <si>
    <t>After the restart WES holds no record of the claim on P. P is treated as free and a second vehicle is ordered to park there.</t>
  </si>
  <si>
    <t>Chart showing task completion volume segmented by hours/shifts.</t>
  </si>
  <si>
    <t>Reviewing</t>
  </si>
  <si>
    <t>wes/src/cargo/park-claim.store.ts:80</t>
  </si>
  <si>
    <t>Đã giao: biểu đồ throughput theo giờ/ngày (KpiResponse.throughput; cửa sổ today / 24h / 7d).</t>
  </si>
  <si>
    <t>View list of congested areas or hotspots</t>
  </si>
  <si>
    <t>Deploying</t>
  </si>
  <si>
    <t>Fixed 2026-07-29 by rebuilding the ledger from GET /v1/transportOrders on application bootstrap. Until that query succeeds no engine may create a park order, because reading an empty ledger as 'nothing is claimed' is exactly how duplicate claims arise.</t>
  </si>
  <si>
    <t>Anomaly Detection</t>
  </si>
  <si>
    <t>Heatmap or list of layout areas with frequent slowdowns.</t>
  </si>
  <si>
    <t>D-012</t>
  </si>
  <si>
    <t>Meeting</t>
  </si>
  <si>
    <t>Grand Total</t>
  </si>
  <si>
    <t>View list of AGVs with high error frequency</t>
  </si>
  <si>
    <t>Highlight specific vehicles that repeatedly fail or trigger errors.</t>
  </si>
  <si>
    <t>Pending</t>
  </si>
  <si>
    <t>D-013</t>
  </si>
  <si>
    <t>System login</t>
  </si>
  <si>
    <t>FE-06: User &amp; Access Management</t>
  </si>
  <si>
    <t>Account &amp; Profile</t>
  </si>
  <si>
    <t>Authenticate user using credentials to access the system.</t>
  </si>
  <si>
    <t>DucNH</t>
  </si>
  <si>
    <t>System logout</t>
  </si>
  <si>
    <t>D-014</t>
  </si>
  <si>
    <t>Terminate the current active session securely.</t>
  </si>
  <si>
    <t>View personal info</t>
  </si>
  <si>
    <t>Display the logged-in user's profile details.</t>
  </si>
  <si>
    <t>D-015</t>
  </si>
  <si>
    <t>Update personal info (profile)</t>
  </si>
  <si>
    <t>Modify user's own profile data (name, contact info, etc.).</t>
  </si>
  <si>
    <t>D-016</t>
  </si>
  <si>
    <t>Change password</t>
  </si>
  <si>
    <t>Allow user to update password after verifying the current one.</t>
  </si>
  <si>
    <t>D-017</t>
  </si>
  <si>
    <t>Forgot/reset password reset</t>
  </si>
  <si>
    <t>Request a secure password reset OTP via email</t>
  </si>
  <si>
    <t>D-018</t>
  </si>
  <si>
    <t>Create user account</t>
  </si>
  <si>
    <t>User Administration</t>
  </si>
  <si>
    <t>Admin creates a new system login for an operator.</t>
  </si>
  <si>
    <t>D-019</t>
  </si>
  <si>
    <t>Update user account</t>
  </si>
  <si>
    <t>Modify user details (name, email, etc.).</t>
  </si>
  <si>
    <t>D-020</t>
  </si>
  <si>
    <t>Delete user account</t>
  </si>
  <si>
    <t>D-021</t>
  </si>
  <si>
    <t>Remove a user's access from the system entirely.</t>
  </si>
  <si>
    <t>View user list</t>
  </si>
  <si>
    <t>Display a list of all registered system users.</t>
  </si>
  <si>
    <t>D-022</t>
  </si>
  <si>
    <t>View user details</t>
  </si>
  <si>
    <t>Show specific information about a user account.</t>
  </si>
  <si>
    <t>D-023</t>
  </si>
  <si>
    <t>Lock user account</t>
  </si>
  <si>
    <t>Access Control</t>
  </si>
  <si>
    <t>Temporarily disable a user from logging in.</t>
  </si>
  <si>
    <t>D-024</t>
  </si>
  <si>
    <t>Unlock user account</t>
  </si>
  <si>
    <t>Re-enable a previously locked user account.</t>
  </si>
  <si>
    <t>D-025</t>
  </si>
  <si>
    <t>Assign role to user</t>
  </si>
  <si>
    <t>Grant a specific role (Admin, Operator) to a user.</t>
  </si>
  <si>
    <t>D-026</t>
  </si>
  <si>
    <t>D-027</t>
  </si>
  <si>
    <t>Remove role from user</t>
  </si>
  <si>
    <t>Revoke a specific role from a user account.</t>
  </si>
  <si>
    <t>D-028</t>
  </si>
  <si>
    <t>Reset user password</t>
  </si>
  <si>
    <t>Admin forces a password reset for a user account.</t>
  </si>
  <si>
    <t>D-029</t>
  </si>
  <si>
    <t>View system events list</t>
  </si>
  <si>
    <t>FE-07: Event Log &amp; Audit Trail</t>
  </si>
  <si>
    <t>System Logs</t>
  </si>
  <si>
    <t>Display a generic, paginated list of all system logs.</t>
  </si>
  <si>
    <t>D-030</t>
  </si>
  <si>
    <t>View system event details</t>
  </si>
  <si>
    <t>Show deep metadata and payloads for a specific system event.</t>
  </si>
  <si>
    <t>Search system events</t>
  </si>
  <si>
    <t>Search logs by keyword, ID, or timestamp.</t>
  </si>
  <si>
    <t>Filter system events</t>
  </si>
  <si>
    <t>Filter logs by severity (Info, Warning, Error) or module.</t>
  </si>
  <si>
    <t>View AGV change history</t>
  </si>
  <si>
    <t>Entity Audit</t>
  </si>
  <si>
    <t>Track modifications made to AGV profiles or settings.</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</si>
  <si>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</si>
  <si>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</si>
  <si>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</si>
  <si>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</si>
  <si>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</si>
  <si>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</si>
  <si>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</si>
  <si>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</si>
  <si>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</si>
  <si>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</si>
  <si>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</si>
  <si>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</si>
  <si>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</si>
  <si>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</si>
  <si>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</si>
  <si>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Đã chạy live và xác nhận qua các run #88-#96; R-005 đã đóng ngày 23/07 với bằng chứng sạc live.</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</si>
  <si>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</si>
  <si>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</si>
  <si>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</si>
  <si>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</si>
  <si>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</si>
  <si>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</si>
  <si>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</si>
  <si>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</si>
  <si>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</si>
  <si>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</si>
  <si>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</si>
  <si>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</si>
  <si>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</si>
  <si>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</si>
  <si>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</si>
  <si>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</si>
  <si>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</si>
  <si>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</si>
  <si>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</si>
  <si>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</si>
  <si>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</si>
  <si>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</si>
  <si>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</si>
  <si>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</si>
  <si>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</si>
  <si>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</si>
  <si>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</si>
  <si>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</si>
  <si>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</si>
  <si>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</si>
  <si>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</si>
  <si>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</si>
  <si>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</si>
  <si>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</si>
  <si>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</si>
  <si>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</si>
  <si>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</si>
  <si>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</si>
  <si>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LaCAM* multi-agent router</t>
  </si>
  <si>
    <t>FE-08: Multi-Agent Traffic Coordination (FMS)</t>
  </si>
  <si>
    <t>Route Planning</t>
  </si>
  <si>
    <t>Thay router Dijkstra từng xe của openTCS bằng bộ lập lịch đa tác tử LaCAM* chạy trong kernel FMS, tính quỹ đạo không-thời gian cho cả đội xe theo cửa sổ trượt nên xung đột đối đầu và chồng lấn tuyến được giải quyết trước khi phát lệnh di chuyển.</t>
  </si>
  <si>
    <t>HungPV, DucNH</t>
  </si>
  <si>
    <t/>
  </si>
  <si>
    <t>ADG per-visit precedence + acyclicity gate</t>
  </si>
  <si>
    <t>Áp đặt thứ tự đi qua điểm bằng cách từ chối cấp phát tài nguyên trong Scheduler.Module thay vì chèn điểm chờ vào tuyến; cổng kiểm tra chu trình trên đồ thị phụ thuộc hành động (ADG) chặn các plan gây deadlock trước khi commit.</t>
  </si>
  <si>
    <t>Rolling-horizon commit</t>
  </si>
  <si>
    <t>Chỉ commit plan khi solver chứng minh được là thực thi được; nếu không thì giữ nguyên plan cũ và giải lại ở tick sau. Gồm certifyWindowOnly (chỉ chứng nhận trong cửa sổ lập lịch) và fallback gate.</t>
  </si>
  <si>
    <t>PIBT engine + anti-starvation priority</t>
  </si>
  <si>
    <t>PIBT (Priority Inheritance with Backtracking) sinh cấu hình bước kế tiếp không va chạm cho cả đội xe; vừa là bộ sinh mức thấp mà LaCAM gọi, vừa là đường lập kế hoạch độc lập trả kết quả gắn nhãn windowed-pibt. Ưu tiên tăng dần chống chết đói, đo tiến độ theo quãng tốt nhất đã đạt thay vì theo bước liền trước.</t>
  </si>
  <si>
    <t>Iteration Summary</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</si>
  <si>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</si>
  <si>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</si>
  <si>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</si>
  <si>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</si>
  <si>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</si>
  <si>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</si>
  <si>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</si>
  <si>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</si>
  <si>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</si>
  <si>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</si>
  <si>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</si>
  <si>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</si>
  <si>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</si>
  <si>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</si>
  <si>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</si>
  <si>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</si>
  <si>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</si>
  <si>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</si>
  <si>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</si>
  <si>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</si>
  <si>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</si>
  <si>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</si>
  <si>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</si>
  <si>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</si>
  <si>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</si>
  <si>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</si>
  <si>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</si>
  <si>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</si>
  <si>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</si>
  <si>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</si>
  <si>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</si>
  <si>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</si>
  <si>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</si>
  <si>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</si>
  <si>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</si>
  <si>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</si>
  <si>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</si>
  <si>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</si>
  <si>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</si>
  <si>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</si>
  <si>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</si>
  <si>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</si>
  <si>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</si>
  <si>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</si>
  <si>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</si>
  <si>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</si>
  <si>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</si>
  <si>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</si>
  <si>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</si>
  <si>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</si>
  <si>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</si>
  <si>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During live batches vehicles were repeatedly ordered onto park points that another vehicle already occupied. The order neither completed nor failed - openTCS applies no timeout to a transport order and never reassigns one pinned to a vehicle - so the vehicle waited at the adjacent point until an operator withdrew the order by hand.</t>
  </si>
  <si>
    <t>Fleet throughput degraded and manual intervention was required on every occurrence. No data loss.</t>
  </si>
  <si>
    <t>Root-caused to the park-claim release rule (D-010) and to claims being lost on restart (D-011). Both fixed 2026-07-29; park orders fell from 214 to 4 per 80 deliveries.</t>
  </si>
  <si>
    <t>Kernel behaviour confirmed by three controlled experiments against a live kernel, recorded in wes/report/park-claims-findings.md.</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</si>
  <si>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</si>
  <si>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</si>
  <si>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</si>
  <si>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</si>
  <si>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</si>
  <si>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</si>
  <si>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</si>
  <si>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</si>
  <si>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</si>
  <si>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</si>
  <si>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</si>
  <si>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</si>
  <si>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</si>
  <si>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</si>
  <si>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</si>
  <si>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</si>
  <si>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</si>
  <si>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</si>
  <si>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</si>
  <si>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</si>
  <si>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</si>
  <si>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</si>
  <si>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</si>
  <si>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</si>
  <si>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</si>
  <si>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</si>
  <si>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</si>
  <si>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</si>
  <si>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</si>
  <si>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</si>
  <si>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</si>
  <si>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</si>
  <si>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</si>
  <si>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</si>
  <si>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</si>
  <si>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</si>
  <si>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</si>
  <si>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</si>
  <si>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</si>
  <si>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</si>
  <si>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</si>
  <si>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</si>
  <si>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</si>
  <si>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Resolved 2026-07-23: the simulator now self-discharges (updateBattery) and forced charging was verified live (V01 charged from 71% to 100% at a CHARGE location). Mitigation completed.</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</si>
  <si>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</si>
  <si>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</si>
  <si>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</si>
  <si>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</si>
  <si>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</si>
  <si>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</si>
  <si>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The MAPF planner feeds every localised vehicle into the solver as a mobile agent, including vehicles the fleet has been told to ignore (TO_BE_RESPECTED) and vehicles that have lost communication. This is harmless today because a vehicle standing on its goal is treated as a hard obstacle and push-aside is not implemented; enabling push-aside or relocation would let the solver plan moves for a vehicle that cannot move, hanging every plan queued behind it.</t>
  </si>
  <si>
    <t>Keep push-aside and relocation switched off until readFleet filters the agent list by mobility; before either is enabled, exclude ignored, disconnected and manually controlled vehicles from the solver input and pass them in as static obstacles instead.</t>
  </si>
  <si>
    <t>Fall back to routing around the immobile vehicle in static-obstacle mode and raise it to the operator for manual clearing.</t>
  </si>
  <si>
    <t>Identified 2026-07-23 by code review; no incident observed. The exposure is dormant - it becomes live only when a push-aside or relocation feature is turned on.</t>
  </si>
  <si>
    <t>R-009</t>
  </si>
  <si>
    <t>The lane-safety guard on cargo creation only inspects transport tasks in PICKING_UP. A vehicle crossing a pickup lane under a PARK or CHARGE order falls outside the rule, so cargo can still be declared at a slot on that vehicle's route and the vehicle may drive into it. openTCS does not model cargo as a scheduler resource, so nothing at the kernel level prevents this.</t>
  </si>
  <si>
    <t>Verify on map v7-vda5050.xml whether park and charge routes actually cross pickup lanes. If they do, extend the guard to withdraw the transiting order as well - WES issues those orders itself, so the same withdraw path applies.</t>
  </si>
  <si>
    <t>Operator clears the lane by hand and the transiting order is withdrawn manually from the dashboard.</t>
  </si>
  <si>
    <t>Identified 2026-07-28 while designing the lane-safety guard; accepted deliberately when the guard was narrowed from claimedResources to allocatedResources. claimedResources would have covered this case but blocks every lane along a planned route. Not observed in operation; the probability is unverified because the map has not been checked.</t>
  </si>
  <si>
    <t>R-010</t>
  </si>
  <si>
    <t>LaneSafetyService treats an unresolvable vehicle state as safe: a vehicle missing from the state store yields an empty allocated-resource list, which reads as 'outside the lane' and lets cargo creation proceed. A PICKING_UP task whose metadata carries no assigned vehicle name is skipped by the check yet is still preempted.</t>
  </si>
  <si>
    <t>Refuse cargo creation when the vehicle state behind a deeper PICKING_UP task cannot be resolved, instead of falling through to the safe branch.</t>
  </si>
  <si>
    <t>Operator re-checks the lane visually before placing the box.</t>
  </si>
  <si>
    <t>Identified 2026-07-28 by code review of lane-safety.service.ts, not by an incident. It contradicts the fail-closed principle applied elsewhere in the same guard, where an SSE disconnect falls back to a REST read rather than guessing.</t>
  </si>
  <si>
    <t>R-011</t>
  </si>
  <si>
    <t>The charge engine keeps its charge-slot claims only in process memory and treats an unreachable kernel as proof that a charge order has ended - the same two faults that produced the park-point defects D-010 and D-011, still unfixed for charging.</t>
  </si>
  <si>
    <t>4.0</t>
  </si>
  <si>
    <t>Apply the park-claim fixes to chargeTargets: rebuild the map from the kernel on bootstrap, and use getTransportOrderStateStrict so an unreachable kernel keeps the claim instead of dropping it.</t>
  </si>
  <si>
    <t>Operator withdraws the duplicate charge order; the vehicle re-evaluates on the next dispatch cycle.</t>
  </si>
  <si>
    <t>reconcileChargeTargets already compares the exact order name, which is why charging never developed the churn parking did. Only the restart and the fail-open branch remain.</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</si>
  <si>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</si>
  <si>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</si>
  <si>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</si>
  <si>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</si>
  <si>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</si>
  <si>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</si>
  <si>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</si>
  <si>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</si>
  <si>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</si>
  <si>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</si>
  <si>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</si>
  <si>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</si>
  <si>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</si>
  <si>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</si>
  <si>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</si>
  <si>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</si>
  <si>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</si>
  <si>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</si>
  <si>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</si>
  <si>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</si>
  <si>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</si>
  <si>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</si>
  <si>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</si>
  <si>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</si>
  <si>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</si>
  <si>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</si>
  <si>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</si>
  <si>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</si>
  <si>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</si>
  <si>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</si>
  <si>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</si>
  <si>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</si>
  <si>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</si>
  <si>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</si>
  <si>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</si>
  <si>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</si>
  <si>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</si>
  <si>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</si>
  <si>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</si>
  <si>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</si>
  <si>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</si>
  <si>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Lane-safety guard on cargo creation. Cargo may not be declared at a slot shallower than a cargo already being picked in the same lane while the assigned vehicle holds allocated resources inside that lane; when the vehicle is still outside, creation proceeds and its pickup order is withdrawn synchronously in the same request. Preempt responsibility moved out of ReleaseEngineService into the cargo creation path.</t>
  </si>
  <si>
    <t>SRS 5.1 (new BR-16), UC Create Cargo, SRS 4.1 External Interfaces; SDS 3 (LaneSafetyService, ReleaseEngineService); code</t>
  </si>
  <si>
    <t>No new use case. One new business rule and one refused-creation path added to an existing use case.</t>
  </si>
  <si>
    <t>allocatedResources chosen over claimedResources: allocated covers the commands already sent to the vehicle, which withdraw(immediate=false) cannot cancel. Ordering, not the database transaction, provides the safety property - a transaction cannot roll back an HTTP withdrawal. Known gaps logged as R-009 and R-010.</t>
  </si>
  <si>
    <t>C-008</t>
  </si>
  <si>
    <t>Idle parking is suppressed while any transport task is CREATED, READY_TO_ASSIGN or BLOCKED, not only READY_TO_ASSIGN as before.</t>
  </si>
  <si>
    <t>SDS 3.1.10; Code</t>
  </si>
  <si>
    <t>A task is written CREATED and only classified on the next flush by the release engine, so the previous gate sent a vehicle away to park one flush before the assignment engine asked for it.</t>
  </si>
  <si>
    <t>C-009</t>
  </si>
  <si>
    <t>Park-order disposal delegated to openTCS: park orders now carry dispensable=true and WES no longer withdraws them. The assignment-engine park preempt and the PARK_IDLE_DELAY_MS knob are removed.</t>
  </si>
  <si>
    <t>SDS 2.4, 3.1.10 and config table; Code</t>
  </si>
  <si>
    <t>SDS 3.1.10 still documents PARK_IDLE_DELAY_MS (as 10000ms), the idleSince and parkTargets attributes and the park preempt in assign() - all removed. SDS 3.1.10 also lists only four flush engines; there are now six steps.</t>
  </si>
  <si>
    <t>C-010</t>
  </si>
  <si>
    <t>2026-07-30</t>
  </si>
  <si>
    <t>WBS status correction. Eleven rows recorded as Not Started or In Progress are in fact delivered and verified in code: the operation dashboard and six of its KPI cards (WBS 56, 59, 60, 62, 63, 64, 65), the Charge Engine (WBS 94), and the assigned-vehicle and execution-progress views (WBS 35, 36), which are delivered on the live operation map rather than in the Cargo table. WBS 7 moves from Not Started to In Progress: the sufficient-battery threshold exists in the API and the Charge Engine already uses it; only the input field is missing.</t>
  </si>
  <si>
    <t>WBS</t>
  </si>
  <si>
    <t>None - no requirement added or removed</t>
  </si>
  <si>
    <t>C-011</t>
  </si>
  <si>
    <t>WBS: added feature group FE-08 Multi-Agent Traffic Coordination (FMS layer) with four Non-UI rows - the LaCAM* multi-agent router that replaces the stock per-vehicle Dijkstra router, the ADG per-visit precedence and acyclicity gate, the rolling-horizon commit that accepts a plan only when the solver proves it executable, and the PIBT engine with its anti-starvation priority.</t>
  </si>
  <si>
    <t>Report 1 FE-08 (GAP-04); SDS 4; WBS</t>
  </si>
  <si>
    <t>No new requirement. FE-08 was already a committed feature in Report 1 v1.1.0 (16/07/2026) but had no work breakdown at all.</t>
  </si>
  <si>
    <t>+32 pts (500 to 532)</t>
  </si>
  <si>
    <t>None - the work is already complete</t>
  </si>
  <si>
    <t>C-012</t>
  </si>
  <si>
    <t>C-013</t>
  </si>
  <si>
    <t>C-014</t>
  </si>
  <si>
    <t>C-015</t>
  </si>
  <si>
    <t>C-016</t>
  </si>
  <si>
    <t>C-017</t>
  </si>
  <si>
    <t>C-018</t>
  </si>
  <si>
    <t>C-019</t>
  </si>
  <si>
    <t>C-020</t>
  </si>
  <si>
    <t xml:space="preserve">Parking Engine (idle parking)</t>
  </si>
  <si>
    <t xml:space="preserve">Idle Management</t>
  </si>
  <si>
    <t xml:space="preserve">Idle parking orchestration: when no transport task is waiting for a vehicle, sends every idle AGV that is not already on a parking position to the nearest free non-charge parking position (BR-15). Park claims are ledgered and rebuilt from the kernel on bootstrap; park orders are dispensable so the kernel releases them itself when the vehicle is needed.</t>
  </si>
  <si>
    <t xml:space="preserve">Đã giao và xác minh live: parking-engine.service.ts + park-claim.store.ts. Sổ claim dựng lại từ kernel lúc bootstrap (D-011), lệnh park mang dispensable=true nên kernel tự huỷ khi cần xe (C-009); số lệnh park giảm từ 214 xuống 4 trên 80 lượt giao (D-010).</t>
  </si>
  <si>
    <t xml:space="preserve">2026-08-02</t>
  </si>
  <si>
    <t xml:space="preserve">WBS: added row #118 Parking Engine (idle parking) as a Non-UI function under FE-01, sub-feature Idle Management, Complex / 8 pts / Iteration 3 / Done. The engine is delivered and verified in code (parking-engine.service.ts, park-claim.store.ts) but had no work-breakdown row - it appeared in this file only as defects D-010 and D-011 and issue I-008.</t>
  </si>
  <si>
    <t xml:space="preserve">SRS 1.4.3 (Non-UI function #21); SDS 3.1.10; WBS</t>
  </si>
  <si>
    <t xml:space="preserve">No new requirement - the function is already specified in SRS 1.4.3 and the work is complete.</t>
  </si>
  <si>
    <t xml:space="preserve">+8 pts (532 to 540)</t>
  </si>
  <si>
    <t xml:space="preserve">Iteration 3: 24 -&gt; 25 chức năng, 116 -&gt; 124 pts, Done 7 -&gt; 8; Grand Total 114 -&gt; 115 và 532 -&gt; 540 pts. Kèm theo C-009: SDS 3.1.10 vẫn mô tả PARK_IDLE_DELAY_MS và park preempt đã bị gỡ, cần sửa riêng.</t>
  </si>
  <si>
    <t xml:space="preserve">Guốc UC 67. Gộp vào #66 (FE-05, Anomaly Detection) - cùng một bề mặt quan sát ùn tắc, không tách hai màn hình. Chuyển khỏi FE-04 vì dữ liệu ùn tắc do tầng FMS (FE-08) sinh ra, FE-04 chỉ còn logic điều phối.</t>
  </si>
  <si>
    <t xml:space="preserve">Assignment Explainability</t>
  </si>
  <si>
    <t xml:space="preserve">Heatmap or list of layout areas with frequent slowdowns, including the live congestion alert for a block or path (merged UC 67).</t>
  </si>
  <si>
    <t xml:space="preserve">Assignment Logic</t>
  </si>
  <si>
    <t xml:space="preserve">Feature group FE-04 renamed from "Traffic Routing &amp; Dispatch" to "Dispatch Orchestration &amp; Release Control" to match Report 1 v1.1.0 (Table I-8), which already states that route planning and traffic coordination belong to the FMS layer (FE-08). WBS #51 View traffic congestion alerts is cancelled and merged into #66; #52 View deadlock risk alerts and #53 View projected AGV route move to FE-05. Sub-feature Route Analysis is replaced by Assignment Explainability (#54) and Assignment Logic (#103).</t>
  </si>
  <si>
    <t xml:space="preserve">Report 1 Table I-8 (source of truth); SRS 1.3.2 (group TRD -&gt; DOR), 1.3.2.5, 1.4.3 rows 8-9; WBS</t>
  </si>
  <si>
    <t xml:space="preserve">No requirement added or removed - one screen merged into an existing one (UC 67 into UC 82).</t>
  </si>
  <si>
    <t xml:space="preserve">0 - the merged screen keeps the estimate of #66</t>
  </si>
  <si>
    <t xml:space="preserve">WBS và SRS mang tên cũ trước Report 1 v1.1.0 (16/07/2026). FE-04 sau khi dọn chỉ còn: Policy Configuration, Queue Management, Assignment Explainability, Resource Allocation và hai engine Non-UI. Tổng số dòng và pts không đổi (#51 chuyển sang Cancelled, vốn đang Not Started).</t>
  </si>
  <si>
    <t xml:space="preserve">View transport request dispatch queue</t>
  </si>
  <si>
    <t xml:space="preserve">WBS #47 renamed from "Update AGV dispatch policy" - an exact duplicate of #46 - to "View transport request dispatch queue", matching UC 63 in SRS 1.3.2 and the description already carried on the same row ("View the list of requests waiting to be orchestrated"). Copy-paste data-entry error: the row was always the dispatch-queue screen (sub-feature Queue Management, Medium / 5 pts / Iteration 2); only the task name was wrong. Not a scope change.</t>
  </si>
  <si>
    <t xml:space="preserve">WBS; SRS 1.3.2 (UC 63)</t>
  </si>
  <si>
    <t xml:space="preserve">None - data-entry correction, no requirement added or removed.</t>
  </si>
  <si>
    <t xml:space="preserve">Lỗi copy-paste khi nhập WBS: ô tên của #47 bị dán trùng tên của #46, trong khi phần mô tả cùng dòng vẫn đúng của UC 63. Chỉ sửa tên; Type, Feature, Sub-feature, Complexity, Points, Iteration và Status giữ nguyên. Tổng số dòng và pts không đổi.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</si>
</sst>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quot;%&quot;"/>
  </numFmts>
  <fonts count="40">
    <font>
      <sz val="11.0"/>
      <color theme="1"/>
      <name val="Calibri"/>
      <scheme val="minor"/>
    </font>
    <font>
      <sz val="11.0"/>
      <color theme="1"/>
      <name val="Calibri"/>
    </font>
    <font>
      <b/>
      <sz val="16.0"/>
      <color rgb="FF1F3864"/>
      <name val="Arial"/>
    </font>
    <font>
      <b/>
      <sz val="14.0"/>
      <color rgb="FF1F3864"/>
      <name val="Arial"/>
    </font>
    <font>
      <sz val="9.0"/>
      <color rgb="FF595959"/>
      <name val="Arial"/>
    </font>
    <font>
      <b/>
      <sz val="10.0"/>
      <color rgb="FFFFFFFF"/>
      <name val="Arial"/>
    </font>
    <font/>
    <font>
      <b/>
      <sz val="10.0"/>
      <color rgb="FF7F6000"/>
      <name val="Arial"/>
    </font>
    <font>
      <sz val="10.0"/>
      <color rgb="FF000000"/>
      <name val="Arial"/>
    </font>
    <font>
      <i/>
      <sz val="10.0"/>
      <color rgb="FF000000"/>
      <name val="Arial"/>
    </font>
    <font>
      <b/>
      <sz val="10.0"/>
      <color rgb="FF1F3864"/>
      <name val="Arial"/>
    </font>
    <font>
      <b/>
      <sz val="16.0"/>
      <color rgb="FFFFFFFF"/>
      <name val="Arial"/>
    </font>
    <font>
      <sz val="10.0"/>
      <color rgb="FF7F6000"/>
      <name val="Arial"/>
    </font>
    <font>
      <b/>
      <sz val="11.0"/>
      <color rgb="FFFFFFFF"/>
      <name val="Calibri"/>
    </font>
    <font>
      <b/>
      <sz val="11.0"/>
      <color rgb="FF1F3864"/>
      <name val="Calibri"/>
    </font>
    <font>
      <b/>
      <sz val="11.0"/>
      <color rgb="FF2E75B6"/>
      <name val="Calibri"/>
    </font>
    <font>
      <sz val="11.0"/>
      <color rgb="FF11734B"/>
      <name val="Calibri"/>
    </font>
    <font>
      <sz val="11.0"/>
      <color theme="1"/>
      <name val="Google Sans"/>
    </font>
    <font>
      <sz val="11.0"/>
      <color rgb="FFD4EDBC"/>
      <name val="Calibri"/>
    </font>
    <font>
      <sz val="11.0"/>
      <color rgb="FFB10202"/>
      <name val="Calibri"/>
    </font>
    <font>
      <b/>
      <sz val="12.0"/>
      <color rgb="FF1F3864"/>
      <name val="Arial"/>
    </font>
    <font>
      <b/>
      <color rgb="FFFFFFFF"/>
      <name val="Arial"/>
    </font>
    <font>
      <b/>
      <color rgb="FF1F3864"/>
      <name val="Arial"/>
    </font>
    <font>
      <color theme="1"/>
      <name val="Arial"/>
    </font>
    <font>
      <sz val="11.0"/>
      <color rgb="FFFFE5A0"/>
      <name val="Calibri"/>
    </font>
    <font>
      <sz val="11.0"/>
      <color rgb="FF473821"/>
      <name val="Calibri"/>
    </font>
    <font>
      <sz val="11.0"/>
      <color rgb="FF5A3286"/>
      <name val="Calibri"/>
    </font>
    <font>
      <color theme="1"/>
      <name val="Calibri"/>
      <scheme val="minor"/>
    </font>
    <font>
      <i/>
      <sz val="9.0"/>
      <color rgb="FF595959"/>
      <name val="Arial"/>
    </font>
    <font>
      <sz val="11.0"/>
      <color rgb="FF215A6C"/>
      <name val="Calibri"/>
    </font>
    <font>
      <b/>
      <sz val="10.0"/>
      <color rgb="FF1F6B75"/>
      <name val="Arial"/>
    </font>
    <font>
      <b/>
      <sz val="11.0"/>
      <color rgb="FFFFFFFF"/>
      <name val="Arial"/>
    </font>
    <font>
      <b/>
      <sz val="11.0"/>
      <color rgb="FFC00000"/>
      <name val="Arial"/>
    </font>
    <font>
      <sz val="11.0"/>
      <color theme="1"/>
      <name val="Arial"/>
    </font>
    <font>
      <i/>
      <sz val="11.0"/>
      <color theme="1"/>
      <name val="Arial"/>
    </font>
    <font>
      <b/>
      <sz val="11.0"/>
      <color rgb="FF1F3864"/>
      <name val="Arial"/>
    </font>
    <font>
      <b/>
      <sz val="11.0"/>
      <color rgb="FF5C3292"/>
      <name val="Arial"/>
    </font>
    <font>
      <b/>
      <sz val="11.0"/>
      <color rgb="FF843C0C"/>
      <name val="Arial"/>
    </font>
    <font>
      <b/>
      <sz val="11.0"/>
      <color theme="1"/>
      <name val="Arial"/>
    </font>
    <font>
      <b/>
      <sz val="11.0"/>
      <color rgb="FF595959"/>
      <name val="Arial"/>
    </font>
  </fonts>
  <fills count="28">
    <fill>
      <patternFill patternType="none"/>
    </fill>
    <fill>
      <patternFill patternType="lightGray"/>
    </fill>
    <fill>
      <patternFill patternType="solid">
        <fgColor rgb="FF1F3864"/>
        <bgColor rgb="FF1F3864"/>
      </patternFill>
    </fill>
    <fill>
      <patternFill patternType="solid">
        <fgColor rgb="FF7F6000"/>
        <bgColor rgb="FF7F6000"/>
      </patternFill>
    </fill>
    <fill>
      <patternFill patternType="solid">
        <fgColor rgb="FFF2F2F2"/>
        <bgColor rgb="FFF2F2F2"/>
      </patternFill>
    </fill>
    <fill>
      <patternFill patternType="solid">
        <fgColor rgb="FF2E75B6"/>
        <bgColor rgb="FF2E75B6"/>
      </patternFill>
    </fill>
    <fill>
      <patternFill patternType="solid">
        <fgColor rgb="FFFFF2CC"/>
        <bgColor rgb="FFFFF2CC"/>
      </patternFill>
    </fill>
    <fill>
      <patternFill patternType="solid">
        <fgColor rgb="FFDEEAF1"/>
        <bgColor rgb="FFDEEAF1"/>
      </patternFill>
    </fill>
    <fill>
      <patternFill patternType="solid">
        <fgColor rgb="FFBDD7EE"/>
        <bgColor rgb="FFBDD7EE"/>
      </patternFill>
    </fill>
    <fill>
      <patternFill patternType="solid">
        <fgColor rgb="FF375623"/>
        <bgColor rgb="FF375623"/>
      </patternFill>
    </fill>
    <fill>
      <patternFill patternType="solid">
        <fgColor rgb="FFFFFFFF"/>
        <bgColor rgb="FFFFFFFF"/>
      </patternFill>
    </fill>
    <fill>
      <patternFill patternType="solid">
        <fgColor rgb="FFBED5A9"/>
        <bgColor rgb="FFBED5A9"/>
      </patternFill>
    </fill>
    <fill>
      <patternFill patternType="solid">
        <fgColor rgb="FFC00000"/>
        <bgColor rgb="FFC00000"/>
      </patternFill>
    </fill>
    <fill>
      <patternFill patternType="solid">
        <fgColor rgb="FF11734B"/>
        <bgColor rgb="FF11734B"/>
      </patternFill>
    </fill>
    <fill>
      <patternFill patternType="solid">
        <fgColor rgb="FFFFCFC9"/>
        <bgColor rgb="FFFFCFC9"/>
      </patternFill>
    </fill>
    <fill>
      <patternFill patternType="solid">
        <fgColor rgb="FFE2EFDA"/>
        <bgColor rgb="FFE2EFDA"/>
      </patternFill>
    </fill>
    <fill>
      <patternFill patternType="solid">
        <fgColor rgb="FF843C0C"/>
        <bgColor rgb="FF843C0C"/>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border>
      <left style="thin">
        <color rgb="FFAAAAAA"/>
      </left>
      <right style="thin">
        <color rgb="FFAAAAAA"/>
      </right>
      <top style="thin">
        <color rgb="FFAAAAAA"/>
      </top>
      <bottom style="thin">
        <color rgb="FFAAAAAA"/>
      </bottom>
    </border>
    <border>
      <left/>
      <right/>
      <top/>
      <bottom/>
    </border>
    <border>
      <left/>
      <top/>
      <bottom/>
    </border>
    <border>
      <top/>
      <bottom/>
    </border>
    <border>
      <left style="thin">
        <color rgb="FFCCCCCC"/>
      </left>
      <right style="thin">
        <color rgb="FFCCCCCC"/>
      </right>
      <top style="thin">
        <color rgb="FFCCCCCC"/>
      </top>
      <bottom style="thin">
        <color rgb="FFCCCCCC"/>
      </bottom>
    </border>
    <border>
      <right/>
      <top/>
      <bottom/>
    </border>
    <border>
      <left style="thin">
        <color rgb="FFC4C7C5"/>
      </left>
      <right style="thin">
        <color rgb="FFC4C7C5"/>
      </right>
      <top style="thin">
        <color rgb="FFC4C7C5"/>
      </top>
      <bottom style="thin">
        <color rgb="FFC4C7C5"/>
      </bottom>
    </border>
    <border>
      <left style="thin">
        <color rgb="FFC4C7C5"/>
      </left>
      <top style="thin">
        <color rgb="FFC4C7C5"/>
      </top>
      <bottom style="thin">
        <color rgb="FFC4C7C5"/>
      </bottom>
    </border>
    <border>
      <left style="thin">
        <color rgb="FFCCCCCC"/>
      </left>
      <right style="thin">
        <color rgb="FFCCCCCC"/>
      </right>
      <top style="thin">
        <color rgb="FFCCCCCC"/>
      </top>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Alignment="1" applyFont="1">
      <alignment vertical="bottom"/>
    </xf>
    <xf borderId="0" fillId="0" fontId="1" numFmtId="0" xfId="0" applyAlignment="1" applyFont="1">
      <alignment vertical="bottom"/>
    </xf>
    <xf borderId="0" fillId="0" fontId="2" numFmtId="0" xfId="0" applyFont="1"/>
    <xf borderId="0" fillId="0" fontId="3" numFmtId="0" xfId="0" applyAlignment="1" applyFont="1">
      <alignment vertical="bottom"/>
    </xf>
    <xf borderId="0" fillId="0" fontId="3" numFmtId="0" xfId="0" applyAlignment="1" applyFont="1">
      <alignment horizontal="left" vertical="center"/>
    </xf>
    <xf borderId="0" fillId="0" fontId="4" numFmtId="0" xfId="0" applyAlignment="1" applyFont="1">
      <alignment horizontal="left" vertical="center"/>
    </xf>
    <xf borderId="0" fillId="0" fontId="4" numFmtId="0" xfId="0" applyFont="1"/>
    <xf borderId="1" fillId="2" fontId="5" numFmtId="0" xfId="0" applyAlignment="1" applyBorder="1" applyFill="1" applyFont="1">
      <alignment horizontal="center" shrinkToFit="0" vertical="center" wrapText="1"/>
    </xf>
    <xf borderId="1" fillId="3" fontId="5" numFmtId="0" xfId="0" applyAlignment="1" applyBorder="1" applyFill="1" applyFont="1">
      <alignment horizontal="center" shrinkToFit="0" vertical="center" wrapText="1"/>
    </xf>
    <xf borderId="0" fillId="0" fontId="4" numFmtId="0" xfId="0" applyAlignment="1" applyFont="1">
      <alignment vertical="bottom"/>
    </xf>
    <xf borderId="2" fillId="4" fontId="4" numFmtId="0" xfId="0" applyAlignment="1" applyBorder="1" applyFill="1" applyFont="1">
      <alignment horizontal="center" shrinkToFit="0" wrapText="1"/>
    </xf>
    <xf borderId="3" fillId="5" fontId="5" numFmtId="0" xfId="0" applyAlignment="1" applyBorder="1" applyFill="1" applyFont="1">
      <alignment horizontal="left" vertical="center"/>
    </xf>
    <xf borderId="4" fillId="0" fontId="6" numFmtId="0" xfId="0" applyBorder="1" applyFont="1"/>
    <xf borderId="5" fillId="6" fontId="7" numFmtId="0" xfId="0" applyAlignment="1" applyBorder="1" applyFill="1" applyFont="1">
      <alignment horizontal="center" shrinkToFit="0" vertical="center" wrapText="1"/>
    </xf>
    <xf borderId="0" fillId="0" fontId="1" numFmtId="0" xfId="0" applyAlignment="1" applyFont="1">
      <alignment vertical="bottom"/>
    </xf>
    <xf borderId="6" fillId="0" fontId="6" numFmtId="0" xfId="0" applyBorder="1" applyFont="1"/>
    <xf borderId="5" fillId="7" fontId="8" numFmtId="0" xfId="0" applyAlignment="1" applyBorder="1" applyFill="1" applyFont="1">
      <alignment horizontal="center" shrinkToFit="0" vertical="center" wrapText="1"/>
    </xf>
    <xf borderId="0" fillId="0" fontId="4" numFmtId="0" xfId="0" applyAlignment="1" applyFont="1">
      <alignment vertical="bottom"/>
    </xf>
    <xf borderId="5" fillId="7" fontId="9" numFmtId="0" xfId="0" applyAlignment="1" applyBorder="1" applyFont="1">
      <alignment horizontal="left" shrinkToFit="0" vertical="center" wrapText="1"/>
    </xf>
    <xf borderId="5" fillId="8" fontId="10" numFmtId="0" xfId="0" applyAlignment="1" applyBorder="1" applyFill="1" applyFont="1">
      <alignment horizontal="center" shrinkToFit="0" vertical="center" wrapText="1"/>
    </xf>
    <xf borderId="5" fillId="7" fontId="8" numFmtId="0" xfId="0" applyAlignment="1" applyBorder="1" applyFont="1">
      <alignment horizontal="left" shrinkToFit="0" vertical="center" wrapText="1"/>
    </xf>
    <xf borderId="2" fillId="5" fontId="11" numFmtId="0" xfId="0" applyAlignment="1" applyBorder="1" applyFont="1">
      <alignment horizontal="center"/>
    </xf>
    <xf borderId="5" fillId="6" fontId="12" numFmtId="0" xfId="0" applyAlignment="1" applyBorder="1" applyFont="1">
      <alignment horizontal="center" shrinkToFit="0" vertical="center" wrapText="1"/>
    </xf>
    <xf borderId="5" fillId="6" fontId="8" numFmtId="164" xfId="0" applyAlignment="1" applyBorder="1" applyFont="1" applyNumberFormat="1">
      <alignment horizontal="center" shrinkToFit="0" vertical="center" wrapText="1"/>
    </xf>
    <xf borderId="2" fillId="9" fontId="11" numFmtId="0" xfId="0" applyAlignment="1" applyBorder="1" applyFill="1" applyFont="1">
      <alignment horizontal="center"/>
    </xf>
    <xf borderId="5" fillId="4" fontId="8" numFmtId="0" xfId="0" applyAlignment="1" applyBorder="1" applyFont="1">
      <alignment horizontal="center" readingOrder="0" shrinkToFit="0" vertical="center" wrapText="1"/>
    </xf>
    <xf borderId="5" fillId="4" fontId="8" numFmtId="0" xfId="0" applyAlignment="1" applyBorder="1" applyFont="1">
      <alignment horizontal="center" shrinkToFit="0" vertical="center" wrapText="1"/>
    </xf>
    <xf borderId="0" fillId="9" fontId="13" numFmtId="0" xfId="0" applyAlignment="1" applyFont="1">
      <alignment horizontal="center" shrinkToFit="0" vertical="bottom" wrapText="1"/>
    </xf>
    <xf borderId="1" fillId="9" fontId="13" numFmtId="0" xfId="0" applyAlignment="1" applyBorder="1" applyFont="1">
      <alignment horizontal="center" shrinkToFit="0" vertical="bottom" wrapText="1"/>
    </xf>
    <xf borderId="2" fillId="3" fontId="11" numFmtId="0" xfId="0" applyAlignment="1" applyBorder="1" applyFont="1">
      <alignment horizontal="center"/>
    </xf>
    <xf borderId="5" fillId="10" fontId="1" numFmtId="0" xfId="0" applyBorder="1" applyFill="1" applyFont="1"/>
    <xf borderId="1" fillId="9" fontId="13" numFmtId="0" xfId="0" applyAlignment="1" applyBorder="1" applyFont="1">
      <alignment horizontal="center" shrinkToFit="0" vertical="bottom" wrapText="1"/>
    </xf>
    <xf borderId="0" fillId="7" fontId="14" numFmtId="0" xfId="0" applyAlignment="1" applyFont="1">
      <alignment horizontal="center" shrinkToFit="0" vertical="bottom" wrapText="1"/>
    </xf>
    <xf borderId="7" fillId="0" fontId="15" numFmtId="0" xfId="0" applyAlignment="1" applyBorder="1" applyFont="1">
      <alignment shrinkToFit="0" vertical="bottom" wrapText="1"/>
    </xf>
    <xf borderId="5" fillId="4" fontId="1" numFmtId="0" xfId="0" applyAlignment="1" applyBorder="1" applyFont="1">
      <alignment horizontal="center" shrinkToFit="0" vertical="center" wrapText="1"/>
    </xf>
    <xf borderId="5" fillId="11" fontId="16" numFmtId="0" xfId="0" applyAlignment="1" applyBorder="1" applyFill="1" applyFont="1">
      <alignment horizontal="center" shrinkToFit="0" vertical="bottom" wrapText="1"/>
    </xf>
    <xf borderId="5" fillId="10" fontId="8" numFmtId="0" xfId="0" applyAlignment="1" applyBorder="1" applyFont="1">
      <alignment horizontal="left" shrinkToFit="0" vertical="center" wrapText="1"/>
    </xf>
    <xf borderId="2" fillId="2" fontId="11" numFmtId="0" xfId="0" applyAlignment="1" applyBorder="1" applyFont="1">
      <alignment horizontal="center"/>
    </xf>
    <xf borderId="5" fillId="7" fontId="1" numFmtId="0" xfId="0" applyBorder="1" applyFont="1"/>
    <xf borderId="7" fillId="0" fontId="17" numFmtId="0" xfId="0" applyAlignment="1" applyBorder="1" applyFont="1">
      <alignment shrinkToFit="0" vertical="bottom" wrapText="1"/>
    </xf>
    <xf borderId="2" fillId="12" fontId="11" numFmtId="0" xfId="0" applyAlignment="1" applyBorder="1" applyFill="1" applyFont="1">
      <alignment horizontal="center"/>
    </xf>
    <xf borderId="5" fillId="10" fontId="8" numFmtId="0" xfId="0" applyAlignment="1" applyBorder="1" applyFont="1">
      <alignment horizontal="center" shrinkToFit="0" vertical="center" wrapText="1"/>
    </xf>
    <xf borderId="7" fillId="0" fontId="17" numFmtId="0" xfId="0" applyAlignment="1" applyBorder="1" applyFont="1">
      <alignment horizontal="center" shrinkToFit="0" vertical="bottom" wrapText="1"/>
    </xf>
    <xf borderId="5" fillId="13" fontId="18" numFmtId="0" xfId="0" applyAlignment="1" applyBorder="1" applyFill="1" applyFont="1">
      <alignment horizontal="center" shrinkToFit="0" vertical="bottom" wrapText="1"/>
    </xf>
    <xf borderId="5" fillId="14" fontId="19" numFmtId="0" xfId="0" applyAlignment="1" applyBorder="1" applyFill="1" applyFont="1">
      <alignment horizontal="center" shrinkToFit="0" vertical="bottom" wrapText="1"/>
    </xf>
    <xf borderId="5" fillId="7" fontId="1" numFmtId="0" xfId="0" applyAlignment="1" applyBorder="1" applyFont="1">
      <alignment shrinkToFit="0" vertical="bottom" wrapText="1"/>
    </xf>
    <xf borderId="5" fillId="7" fontId="1" numFmtId="0" xfId="0" applyAlignment="1" applyBorder="1" applyFont="1">
      <alignment vertical="bottom"/>
    </xf>
    <xf borderId="5" fillId="15" fontId="1" numFmtId="0" xfId="0" applyAlignment="1" applyBorder="1" applyFill="1" applyFont="1">
      <alignment horizontal="center" shrinkToFit="0" vertical="bottom" wrapText="1"/>
    </xf>
    <xf borderId="0" fillId="10" fontId="14" numFmtId="0" xfId="0" applyAlignment="1" applyFont="1">
      <alignment horizontal="center" shrinkToFit="0" vertical="bottom" wrapText="1"/>
    </xf>
    <xf borderId="5" fillId="10" fontId="1" numFmtId="0" xfId="0" applyAlignment="1" applyBorder="1" applyFont="1">
      <alignment vertical="bottom"/>
    </xf>
    <xf borderId="2" fillId="16" fontId="11" numFmtId="0" xfId="0" applyAlignment="1" applyBorder="1" applyFill="1" applyFont="1">
      <alignment horizontal="center"/>
    </xf>
    <xf borderId="0" fillId="0" fontId="20" numFmtId="0" xfId="0" applyAlignment="1" applyFont="1">
      <alignment vertical="bottom"/>
    </xf>
    <xf borderId="1" fillId="2" fontId="21" numFmtId="0" xfId="0" applyAlignment="1" applyBorder="1" applyFont="1">
      <alignment horizontal="center" shrinkToFit="0" wrapText="1"/>
    </xf>
    <xf borderId="5" fillId="6" fontId="1" numFmtId="0" xfId="0" applyAlignment="1" applyBorder="1" applyFont="1">
      <alignment horizontal="center" shrinkToFit="0" vertical="bottom" wrapText="1"/>
    </xf>
    <xf borderId="5" fillId="7" fontId="22" numFmtId="0" xfId="0" applyAlignment="1" applyBorder="1" applyFont="1">
      <alignment shrinkToFit="0" wrapText="1"/>
    </xf>
    <xf borderId="5" fillId="7" fontId="23" numFmtId="0" xfId="0" applyAlignment="1" applyBorder="1" applyFont="1">
      <alignment shrinkToFit="0" wrapText="1"/>
    </xf>
    <xf borderId="5" fillId="7" fontId="23" numFmtId="0" xfId="0" applyAlignment="1" applyBorder="1" applyFont="1">
      <alignment horizontal="center" shrinkToFit="0" wrapText="1"/>
    </xf>
    <xf borderId="5" fillId="15" fontId="23" numFmtId="0" xfId="0" applyAlignment="1" applyBorder="1" applyFont="1">
      <alignment horizontal="center" shrinkToFit="0" wrapText="1"/>
    </xf>
    <xf borderId="5" fillId="10" fontId="22" numFmtId="0" xfId="0" applyAlignment="1" applyBorder="1" applyFont="1">
      <alignment shrinkToFit="0" wrapText="1"/>
    </xf>
    <xf borderId="5" fillId="10" fontId="23" numFmtId="0" xfId="0" applyAlignment="1" applyBorder="1" applyFont="1">
      <alignment shrinkToFit="0" wrapText="1"/>
    </xf>
    <xf borderId="5" fillId="10" fontId="23" numFmtId="0" xfId="0" applyAlignment="1" applyBorder="1" applyFont="1">
      <alignment horizontal="center" shrinkToFit="0" wrapText="1"/>
    </xf>
    <xf borderId="5" fillId="17" fontId="24" numFmtId="0" xfId="0" applyAlignment="1" applyBorder="1" applyFill="1" applyFont="1">
      <alignment horizontal="center" shrinkToFit="0" vertical="bottom" wrapText="1"/>
    </xf>
    <xf borderId="5" fillId="7" fontId="1" numFmtId="0" xfId="0" applyAlignment="1" applyBorder="1" applyFont="1">
      <alignment shrinkToFit="0" vertical="bottom" wrapText="1"/>
    </xf>
    <xf borderId="5" fillId="18" fontId="25" numFmtId="0" xfId="0" applyAlignment="1" applyBorder="1" applyFill="1" applyFont="1">
      <alignment horizontal="center" shrinkToFit="0" vertical="bottom" wrapText="1"/>
    </xf>
    <xf borderId="5" fillId="19" fontId="26" numFmtId="0" xfId="0" applyAlignment="1" applyBorder="1" applyFill="1" applyFont="1">
      <alignment horizontal="center" shrinkToFit="0" vertical="bottom" wrapText="1"/>
    </xf>
    <xf borderId="5" fillId="4" fontId="1" numFmtId="0" xfId="0" applyAlignment="1" applyBorder="1" applyFont="1">
      <alignment horizontal="center" shrinkToFit="0" vertical="bottom" wrapText="1"/>
    </xf>
    <xf borderId="0" fillId="7" fontId="1" numFmtId="0" xfId="0" applyAlignment="1" applyFont="1">
      <alignment vertical="bottom"/>
    </xf>
    <xf borderId="1" fillId="5" fontId="21" numFmtId="0" xfId="0" applyAlignment="1" applyBorder="1" applyFont="1">
      <alignment horizontal="center" shrinkToFit="0" wrapText="1"/>
    </xf>
    <xf borderId="1" fillId="5" fontId="21" numFmtId="0" xfId="0" applyAlignment="1" applyBorder="1" applyFont="1">
      <alignment horizontal="center" shrinkToFit="0" wrapText="1"/>
    </xf>
    <xf borderId="5" fillId="10" fontId="23" numFmtId="0" xfId="0" applyAlignment="1" applyBorder="1" applyFont="1">
      <alignment horizontal="center" shrinkToFit="0" wrapText="1"/>
    </xf>
    <xf borderId="0" fillId="0" fontId="27" numFmtId="0" xfId="0" applyFont="1"/>
    <xf borderId="5" fillId="10" fontId="1" numFmtId="164" xfId="0" applyBorder="1" applyFont="1" applyNumberFormat="1"/>
    <xf borderId="5" fillId="7" fontId="1" numFmtId="164" xfId="0" applyBorder="1" applyFont="1" applyNumberFormat="1"/>
    <xf borderId="0" fillId="17" fontId="24" numFmtId="0" xfId="0" applyAlignment="1" applyFont="1">
      <alignment horizontal="center" shrinkToFit="0" vertical="bottom" wrapText="1"/>
    </xf>
    <xf borderId="8" fillId="0" fontId="17" numFmtId="0" xfId="0" applyAlignment="1" applyBorder="1" applyFont="1">
      <alignment horizontal="center" shrinkToFit="0" vertical="bottom" wrapText="1"/>
    </xf>
    <xf borderId="9" fillId="14" fontId="19" numFmtId="0" xfId="0" applyAlignment="1" applyBorder="1" applyFont="1">
      <alignment horizontal="center" shrinkToFit="0" vertical="bottom" wrapText="1"/>
    </xf>
    <xf borderId="9" fillId="10" fontId="1" numFmtId="0" xfId="0" applyAlignment="1" applyBorder="1" applyFont="1">
      <alignment vertical="bottom"/>
    </xf>
    <xf borderId="9" fillId="15" fontId="1" numFmtId="0" xfId="0" applyAlignment="1" applyBorder="1" applyFont="1">
      <alignment horizontal="center" shrinkToFit="0" vertical="bottom" wrapText="1"/>
    </xf>
    <xf borderId="3" fillId="4" fontId="28" numFmtId="0" xfId="0" applyAlignment="1" applyBorder="1" applyFont="1">
      <alignment horizontal="center" shrinkToFit="0" wrapText="1"/>
    </xf>
    <xf borderId="0" fillId="13" fontId="18" numFmtId="0" xfId="0" applyAlignment="1" applyFont="1">
      <alignment horizontal="center" shrinkToFit="0" vertical="bottom" wrapText="1"/>
    </xf>
    <xf borderId="9" fillId="20" fontId="29" numFmtId="0" xfId="0" applyAlignment="1" applyBorder="1" applyFill="1" applyFont="1">
      <alignment horizontal="center" shrinkToFit="0" vertical="bottom" wrapText="1"/>
    </xf>
    <xf borderId="9" fillId="6" fontId="1" numFmtId="0" xfId="0" applyAlignment="1" applyBorder="1" applyFont="1">
      <alignment horizontal="center" shrinkToFit="0" vertical="bottom" wrapText="1"/>
    </xf>
    <xf borderId="9" fillId="4" fontId="1" numFmtId="0" xfId="0" applyAlignment="1" applyBorder="1" applyFont="1">
      <alignment horizontal="center" shrinkToFit="0" vertical="bottom" wrapText="1"/>
    </xf>
    <xf borderId="1" fillId="21" fontId="5" numFmtId="0" xfId="0" applyAlignment="1" applyBorder="1" applyFill="1" applyFont="1">
      <alignment horizontal="center" shrinkToFit="0" vertical="center" wrapText="1"/>
    </xf>
    <xf borderId="5" fillId="22" fontId="30" numFmtId="0" xfId="0" applyAlignment="1" applyBorder="1" applyFill="1" applyFont="1">
      <alignment horizontal="center" shrinkToFit="0" vertical="center" wrapText="1"/>
    </xf>
    <xf borderId="5" fillId="22" fontId="8" numFmtId="0" xfId="0" applyAlignment="1" applyBorder="1" applyFont="1">
      <alignment horizontal="center" shrinkToFit="0" vertical="center" wrapText="1"/>
    </xf>
    <xf borderId="5" fillId="22" fontId="8" numFmtId="0" xfId="0" applyAlignment="1" applyBorder="1" applyFont="1">
      <alignment horizontal="left" shrinkToFit="0" vertical="center" wrapText="1"/>
    </xf>
    <xf borderId="5" fillId="6" fontId="8" numFmtId="0" xfId="0" applyAlignment="1" applyBorder="1" applyFont="1">
      <alignment horizontal="center" shrinkToFit="0" vertical="center" wrapText="1"/>
    </xf>
    <xf borderId="0" fillId="19" fontId="26" numFmtId="0" xfId="0" applyAlignment="1" applyFont="1">
      <alignment horizontal="center" shrinkToFit="0" vertical="bottom" wrapText="1"/>
    </xf>
    <xf borderId="1" fillId="12" fontId="31" numFmtId="0" xfId="0" applyAlignment="1" applyBorder="1" applyFont="1">
      <alignment horizontal="center" shrinkToFit="0" vertical="bottom" wrapText="1"/>
    </xf>
    <xf borderId="5" fillId="23" fontId="32" numFmtId="0" xfId="0" applyAlignment="1" applyBorder="1" applyFill="1" applyFont="1">
      <alignment horizontal="center" shrinkToFit="0" vertical="bottom" wrapText="1"/>
    </xf>
    <xf borderId="5" fillId="23" fontId="33" numFmtId="0" xfId="0" applyAlignment="1" applyBorder="1" applyFont="1">
      <alignment horizontal="center" shrinkToFit="0" vertical="bottom" wrapText="1"/>
    </xf>
    <xf borderId="5" fillId="23" fontId="34" numFmtId="0" xfId="0" applyAlignment="1" applyBorder="1" applyFont="1">
      <alignment shrinkToFit="0" vertical="bottom" wrapText="1"/>
    </xf>
    <xf borderId="5" fillId="23" fontId="33" numFmtId="0" xfId="0" applyAlignment="1" applyBorder="1" applyFont="1">
      <alignment shrinkToFit="0" vertical="bottom" wrapText="1"/>
    </xf>
    <xf borderId="5" fillId="23" fontId="1" numFmtId="0" xfId="0" applyAlignment="1" applyBorder="1" applyFont="1">
      <alignment vertical="bottom"/>
    </xf>
    <xf borderId="5" fillId="10" fontId="33" numFmtId="0" xfId="0" applyAlignment="1" applyBorder="1" applyFont="1">
      <alignment horizontal="center" shrinkToFit="0" vertical="bottom" wrapText="1"/>
    </xf>
    <xf borderId="5" fillId="10" fontId="33" numFmtId="0" xfId="0" applyAlignment="1" applyBorder="1" applyFont="1">
      <alignment shrinkToFit="0" vertical="bottom" wrapText="1"/>
    </xf>
    <xf borderId="5" fillId="15" fontId="33" numFmtId="0" xfId="0" applyAlignment="1" applyBorder="1" applyFont="1">
      <alignment horizontal="center" shrinkToFit="0" vertical="bottom" wrapText="1"/>
    </xf>
    <xf borderId="5" fillId="6" fontId="33" numFmtId="0" xfId="0" applyAlignment="1" applyBorder="1" applyFont="1">
      <alignment horizontal="center" shrinkToFit="0" vertical="bottom" wrapText="1"/>
    </xf>
    <xf borderId="9" fillId="19" fontId="26" numFmtId="0" xfId="0" applyAlignment="1" applyBorder="1" applyFont="1">
      <alignment horizontal="center" shrinkToFit="0" vertical="bottom" wrapText="1"/>
    </xf>
    <xf borderId="9" fillId="10" fontId="1" numFmtId="0" xfId="0" applyAlignment="1" applyBorder="1" applyFont="1">
      <alignment vertical="bottom"/>
    </xf>
    <xf borderId="0" fillId="0" fontId="35" numFmtId="0" xfId="0" applyFont="1"/>
    <xf borderId="5" fillId="22" fontId="8" numFmtId="0" xfId="0" applyBorder="1" applyFont="1"/>
    <xf borderId="1" fillId="2" fontId="5" numFmtId="0" xfId="0" applyBorder="1" applyFont="1"/>
    <xf borderId="9" fillId="10" fontId="1" numFmtId="0" xfId="0" applyAlignment="1" applyBorder="1" applyFont="1">
      <alignment shrinkToFit="0" vertical="bottom" wrapText="1"/>
    </xf>
    <xf borderId="9" fillId="10" fontId="1" numFmtId="0" xfId="0" applyAlignment="1" applyBorder="1" applyFont="1">
      <alignment shrinkToFit="0" vertical="bottom" wrapText="1"/>
    </xf>
    <xf borderId="0" fillId="7" fontId="14" numFmtId="0" xfId="0" applyAlignment="1" applyFont="1">
      <alignment horizontal="center" shrinkToFit="0" vertical="bottom" wrapText="1"/>
    </xf>
    <xf borderId="7" fillId="0" fontId="15" numFmtId="0" xfId="0" applyAlignment="1" applyBorder="1" applyFont="1">
      <alignment shrinkToFit="0" vertical="bottom" wrapText="1"/>
    </xf>
    <xf borderId="5" fillId="11" fontId="16" numFmtId="0" xfId="0" applyAlignment="1" applyBorder="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0" fillId="17" fontId="24" numFmtId="0" xfId="0" applyAlignment="1" applyFont="1">
      <alignment horizontal="center" shrinkToFit="0" vertical="bottom" wrapText="1"/>
    </xf>
    <xf borderId="8" fillId="0" fontId="17" numFmtId="0" xfId="0" applyAlignment="1" applyBorder="1" applyFont="1">
      <alignment horizontal="center" shrinkToFit="0" vertical="bottom" wrapText="1"/>
    </xf>
    <xf borderId="9" fillId="19" fontId="26" numFmtId="0" xfId="0" applyAlignment="1" applyBorder="1" applyFont="1">
      <alignment horizontal="center" shrinkToFit="0" vertical="bottom" wrapText="1"/>
    </xf>
    <xf borderId="9" fillId="10" fontId="1" numFmtId="0" xfId="0" applyAlignment="1" applyBorder="1" applyFont="1">
      <alignment vertical="bottom"/>
    </xf>
    <xf borderId="9" fillId="4" fontId="1" numFmtId="0" xfId="0" applyAlignment="1" applyBorder="1" applyFont="1">
      <alignment horizontal="center" shrinkToFit="0" vertical="bottom" wrapText="1"/>
    </xf>
    <xf borderId="0" fillId="10" fontId="14" numFmtId="0" xfId="0" applyAlignment="1" applyFont="1">
      <alignment horizontal="center" shrinkToFit="0" vertical="bottom" wrapText="1"/>
    </xf>
    <xf borderId="0" fillId="7" fontId="14" numFmtId="0" xfId="0" applyAlignment="1" applyFont="1">
      <alignment horizontal="center" shrinkToFit="0" vertical="bottom" wrapText="1"/>
    </xf>
    <xf borderId="7" fillId="0" fontId="15" numFmtId="0" xfId="0" applyAlignment="1" applyBorder="1" applyFont="1">
      <alignment shrinkToFit="0" vertical="bottom" wrapText="1"/>
    </xf>
    <xf borderId="5" fillId="18" fontId="25" numFmtId="0" xfId="0" applyAlignment="1" applyBorder="1" applyFont="1">
      <alignment horizontal="center" shrinkToFit="0" vertical="bottom" wrapText="1"/>
    </xf>
    <xf borderId="5" fillId="18" fontId="25" numFmtId="0" xfId="0" applyAlignment="1" applyBorder="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9" fillId="15" fontId="1" numFmtId="0" xfId="0" applyAlignment="1" applyBorder="1" applyFont="1">
      <alignment horizontal="center" shrinkToFit="0" vertical="bottom" wrapText="1"/>
    </xf>
    <xf borderId="9" fillId="6" fontId="1" numFmtId="0" xfId="0" applyAlignment="1" applyBorder="1" applyFont="1">
      <alignment horizontal="center" shrinkToFit="0" vertical="bottom" wrapText="1"/>
    </xf>
    <xf borderId="0" fillId="0" fontId="35" numFmtId="0" xfId="0" applyAlignment="1" applyFont="1">
      <alignment vertical="bottom"/>
    </xf>
    <xf borderId="0" fillId="9" fontId="1" numFmtId="0" xfId="0" applyAlignment="1" applyFont="1">
      <alignment vertical="bottom"/>
    </xf>
    <xf borderId="1" fillId="9" fontId="31" numFmtId="0" xfId="0" applyAlignment="1" applyBorder="1" applyFont="1">
      <alignment horizontal="center" shrinkToFit="0" vertical="bottom" wrapText="1"/>
    </xf>
    <xf borderId="0" fillId="10" fontId="1" numFmtId="0" xfId="0" applyAlignment="1" applyFont="1">
      <alignment vertical="bottom"/>
    </xf>
    <xf borderId="5" fillId="10" fontId="35" numFmtId="0" xfId="0" applyAlignment="1" applyBorder="1" applyFont="1">
      <alignment shrinkToFit="0" vertical="bottom" wrapText="1"/>
    </xf>
    <xf borderId="5" fillId="10" fontId="33" numFmtId="0" xfId="0" applyAlignment="1" applyBorder="1" applyFont="1">
      <alignment horizontal="center" shrinkToFit="0" vertical="bottom" wrapText="1"/>
    </xf>
    <xf borderId="5" fillId="10" fontId="1" numFmtId="0" xfId="0" applyAlignment="1" applyBorder="1" applyFont="1">
      <alignment horizontal="right" vertical="bottom"/>
    </xf>
    <xf borderId="0" fillId="7" fontId="1" numFmtId="0" xfId="0" applyAlignment="1" applyFont="1">
      <alignment vertical="bottom"/>
    </xf>
    <xf borderId="5" fillId="7" fontId="35" numFmtId="0" xfId="0" applyAlignment="1" applyBorder="1" applyFont="1">
      <alignment shrinkToFit="0" vertical="bottom" wrapText="1"/>
    </xf>
    <xf borderId="5" fillId="7" fontId="33" numFmtId="0" xfId="0" applyAlignment="1" applyBorder="1" applyFont="1">
      <alignment horizontal="center" shrinkToFit="0" vertical="bottom" wrapText="1"/>
    </xf>
    <xf borderId="5" fillId="7" fontId="1" numFmtId="0" xfId="0" applyAlignment="1" applyBorder="1" applyFont="1">
      <alignment horizontal="right" vertical="bottom"/>
    </xf>
    <xf borderId="0" fillId="2" fontId="1" numFmtId="0" xfId="0" applyAlignment="1" applyFont="1">
      <alignment vertical="bottom"/>
    </xf>
    <xf borderId="1" fillId="2" fontId="31" numFmtId="0" xfId="0" applyAlignment="1" applyBorder="1" applyFont="1">
      <alignment shrinkToFit="0" vertical="bottom" wrapText="1"/>
    </xf>
    <xf borderId="1" fillId="2" fontId="31" numFmtId="0" xfId="0" applyAlignment="1" applyBorder="1" applyFont="1">
      <alignment horizontal="center" shrinkToFit="0" vertical="bottom" wrapText="1"/>
    </xf>
    <xf borderId="1" fillId="24" fontId="31" numFmtId="0" xfId="0" applyAlignment="1" applyBorder="1" applyFill="1" applyFont="1">
      <alignment horizontal="center" shrinkToFit="0" vertical="bottom" wrapText="1"/>
    </xf>
    <xf borderId="5" fillId="25" fontId="36" numFmtId="0" xfId="0" applyAlignment="1" applyBorder="1" applyFill="1" applyFont="1">
      <alignment horizontal="center" shrinkToFit="0" vertical="bottom" wrapText="1"/>
    </xf>
    <xf borderId="5" fillId="25" fontId="33" numFmtId="0" xfId="0" applyAlignment="1" applyBorder="1" applyFont="1">
      <alignment horizontal="center" shrinkToFit="0" vertical="bottom" wrapText="1"/>
    </xf>
    <xf borderId="5" fillId="25" fontId="34" numFmtId="0" xfId="0" applyAlignment="1" applyBorder="1" applyFont="1">
      <alignment shrinkToFit="0" vertical="bottom" wrapText="1"/>
    </xf>
    <xf borderId="5" fillId="25" fontId="33" numFmtId="0" xfId="0" applyAlignment="1" applyBorder="1" applyFont="1">
      <alignment shrinkToFit="0" vertical="bottom" wrapText="1"/>
    </xf>
    <xf borderId="5" fillId="25" fontId="1" numFmtId="0" xfId="0" applyAlignment="1" applyBorder="1" applyFont="1">
      <alignment vertical="bottom"/>
    </xf>
    <xf borderId="0" fillId="26" fontId="1" numFmtId="0" xfId="0" applyAlignment="1" applyFill="1" applyFont="1">
      <alignment vertical="bottom"/>
    </xf>
    <xf borderId="1" fillId="16" fontId="31" numFmtId="0" xfId="0" applyAlignment="1" applyBorder="1" applyFont="1">
      <alignment horizontal="center" shrinkToFit="0" vertical="bottom" wrapText="1"/>
    </xf>
    <xf borderId="5" fillId="23" fontId="37" numFmtId="0" xfId="0" applyAlignment="1" applyBorder="1" applyFont="1">
      <alignment horizontal="center" shrinkToFit="0" vertical="bottom" wrapText="1"/>
    </xf>
    <xf borderId="5" fillId="6" fontId="38" numFmtId="0" xfId="0" applyAlignment="1" applyBorder="1" applyFont="1">
      <alignment horizontal="center" shrinkToFit="0" vertical="bottom" wrapText="1"/>
    </xf>
    <xf borderId="5" fillId="15" fontId="38" numFmtId="0" xfId="0" applyAlignment="1" applyBorder="1" applyFont="1">
      <alignment horizontal="center" shrinkToFit="0" vertical="bottom" wrapText="1"/>
    </xf>
    <xf borderId="5" fillId="6" fontId="1" numFmtId="0" xfId="0" applyAlignment="1" applyBorder="1" applyFont="1">
      <alignment vertical="bottom"/>
    </xf>
    <xf borderId="5" fillId="23" fontId="37" numFmtId="0" xfId="0" applyAlignment="1" applyBorder="1" applyFont="1">
      <alignment horizontal="center" shrinkToFit="0" vertical="bottom" wrapText="1"/>
    </xf>
    <xf borderId="5" fillId="23" fontId="1" numFmtId="0" xfId="0" applyAlignment="1" applyBorder="1" applyFont="1">
      <alignment vertical="bottom"/>
    </xf>
    <xf borderId="5" fillId="6" fontId="33" numFmtId="0" xfId="0" applyAlignment="1" applyBorder="1" applyFont="1">
      <alignment horizontal="center" shrinkToFit="0" vertical="bottom" wrapText="1"/>
    </xf>
    <xf borderId="5" fillId="6" fontId="1" numFmtId="0" xfId="0" applyAlignment="1" applyBorder="1" applyFont="1">
      <alignment vertical="bottom"/>
    </xf>
    <xf borderId="5" fillId="23" fontId="33" numFmtId="0" xfId="0" applyAlignment="1" applyBorder="1" applyFont="1">
      <alignment horizontal="center" shrinkToFit="0" vertical="bottom" wrapText="1"/>
    </xf>
    <xf borderId="5" fillId="10" fontId="1" numFmtId="0" xfId="0" applyAlignment="1" applyBorder="1" applyFont="1">
      <alignment vertical="bottom"/>
    </xf>
    <xf borderId="1" fillId="27" fontId="31" numFmtId="0" xfId="0" applyAlignment="1" applyBorder="1" applyFill="1" applyFont="1">
      <alignment horizontal="center" shrinkToFit="0" vertical="bottom" wrapText="1"/>
    </xf>
    <xf borderId="5" fillId="4" fontId="39" numFmtId="0" xfId="0" applyAlignment="1" applyBorder="1" applyFont="1">
      <alignment horizontal="center" shrinkToFit="0" vertical="bottom" wrapText="1"/>
    </xf>
    <xf borderId="5" fillId="4" fontId="33" numFmtId="0" xfId="0" applyAlignment="1" applyBorder="1" applyFont="1">
      <alignment horizontal="center" shrinkToFit="0" vertical="bottom" wrapText="1"/>
    </xf>
    <xf borderId="5" fillId="4" fontId="34" numFmtId="0" xfId="0" applyAlignment="1" applyBorder="1" applyFont="1">
      <alignment shrinkToFit="0" vertical="bottom" wrapText="1"/>
    </xf>
    <xf borderId="5" fillId="4" fontId="33" numFmtId="0" xfId="0" applyAlignment="1" applyBorder="1" applyFont="1">
      <alignment shrinkToFit="0" vertical="bottom" wrapText="1"/>
    </xf>
    <xf borderId="5" fillId="4" fontId="33" numFmtId="0" xfId="0" applyAlignment="1" applyBorder="1" applyFont="1">
      <alignment shrinkToFit="0" vertical="bottom" wrapText="1"/>
    </xf>
    <xf borderId="5" fillId="4" fontId="1" numFmtId="0" xfId="0" applyAlignment="1" applyBorder="1" applyFont="1">
      <alignment vertical="bottom"/>
    </xf>
  </cellXfs>
  <cellStyles count="1">
    <cellStyle xfId="0" name="Normal" builtinId="0"/>
  </cellStyles>
  <dxfs count="5">
    <dxf>
      <font/>
      <fill>
        <patternFill patternType="solid">
          <fgColor rgb="FFE2EFDA"/>
          <bgColor rgb="FFE2EFDA"/>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2F2F2"/>
          <bgColor rgb="FFF2F2F2"/>
        </patternFill>
      </fill>
      <border/>
    </dxf>
    <dxf>
      <font/>
      <fill>
        <patternFill patternType="solid">
          <fgColor rgb="FFD6EEF0"/>
          <bgColor rgb="FFD6EEF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showGridLines="0" workbookViewId="0"/>
  </sheetViews>
  <sheetFormatPr customHeight="1" defaultColWidth="14.43" defaultRowHeight="15.0" outlineLevelCol="1"/>
  <cols>
    <col customWidth="1" min="1" max="1" width="2.0"/>
    <col customWidth="1" min="2" max="2" width="22.0"/>
    <col customWidth="1" min="3" max="3" width="40.29"/>
    <col customWidth="1" min="4" max="7" width="14.0"/>
    <col customWidth="1" min="8" max="8" width="22.0"/>
    <col customWidth="1" min="9" max="26" width="8.71"/>
  </cols>
  <sheetData>
    <row r="1" ht="14.25" customHeight="1">
      <c r="A1" s="1"/>
      <c r="B1" s="3" t="s">
        <v>2</v>
      </c>
      <c r="I1" s="1"/>
      <c r="J1" s="1"/>
      <c r="K1" s="1"/>
      <c r="L1" s="1"/>
      <c r="M1" s="1"/>
      <c r="N1" s="1"/>
      <c r="O1" s="1"/>
      <c r="P1" s="1"/>
      <c r="Q1" s="1"/>
      <c r="R1" s="1"/>
      <c r="S1" s="1"/>
      <c r="T1" s="1"/>
      <c r="U1" s="1"/>
      <c r="V1" s="1"/>
      <c r="W1" s="1"/>
      <c r="X1" s="1"/>
      <c r="Y1" s="1"/>
      <c r="Z1" s="1"/>
    </row>
    <row r="2" ht="14.25" customHeight="1">
      <c r="A2" s="1"/>
      <c r="B2" s="7" t="s">
        <v>5</v>
      </c>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1" t="s">
        <v>25</v>
      </c>
      <c r="C4" s="11" t="s">
        <v>30</v>
      </c>
      <c r="D4" s="11" t="s">
        <v>31</v>
      </c>
      <c r="E4" s="11" t="s">
        <v>32</v>
      </c>
      <c r="F4" s="11" t="s">
        <v>33</v>
      </c>
      <c r="G4" s="11" t="s">
        <v>35</v>
      </c>
      <c r="H4" s="1"/>
      <c r="I4" s="1"/>
      <c r="J4" s="1"/>
      <c r="K4" s="1"/>
      <c r="L4" s="1"/>
      <c r="M4" s="1"/>
      <c r="N4" s="1"/>
      <c r="O4" s="1"/>
      <c r="P4" s="1"/>
      <c r="Q4" s="1"/>
      <c r="R4" s="1"/>
      <c r="S4" s="1"/>
      <c r="T4" s="1"/>
      <c r="U4" s="1"/>
      <c r="V4" s="1"/>
      <c r="W4" s="1"/>
      <c r="X4" s="1"/>
      <c r="Y4" s="1"/>
      <c r="Z4" s="1"/>
    </row>
    <row r="5" ht="14.25" customHeight="1">
      <c r="A5" s="1"/>
      <c r="B5" s="22">
        <f>COUNTA(Scope!B5:B200)</f>
        <v>32</v>
      </c>
      <c r="C5" s="25">
        <f>COUNTIF(Scope!G5:G200,"Done")+COUNTIF(Scope!G5:G200,"Completed")</f>
        <v>8</v>
      </c>
      <c r="D5" s="30">
        <f>COUNTIF(Scope!G5:G200,"In Progress")</f>
        <v>0</v>
      </c>
      <c r="E5" s="38">
        <f>COUNTIF(Scope!G5:G200,"Not Started")</f>
        <v>24</v>
      </c>
      <c r="F5" s="41">
        <f>COUNTIFS(Issues!K5:K200,"Open",Issues!C5:C200,"&lt;&gt;")</f>
        <v>1</v>
      </c>
      <c r="G5" s="41">
        <f>COUNTIFS(Defects!N5:N200,"Open",Defects!C5:C200,"&lt;&gt;")+COUNTIFS(Defects!N5:N200,"Pending",Defects!C5:C200,"&lt;&gt;")</f>
        <v>8</v>
      </c>
      <c r="H5" s="1"/>
      <c r="I5" s="1"/>
      <c r="J5" s="1"/>
      <c r="K5" s="1"/>
      <c r="L5" s="1"/>
      <c r="M5" s="1"/>
      <c r="N5" s="1"/>
      <c r="O5" s="1"/>
      <c r="P5" s="1"/>
      <c r="Q5" s="1"/>
      <c r="R5" s="1"/>
      <c r="S5" s="1"/>
      <c r="T5" s="1"/>
      <c r="U5" s="1"/>
      <c r="V5" s="1"/>
      <c r="W5" s="1"/>
      <c r="X5" s="1"/>
      <c r="Y5" s="1"/>
      <c r="Z5" s="1"/>
    </row>
    <row r="6" ht="14.25" customHeight="1">
      <c r="A6" s="1"/>
      <c r="B6" s="1"/>
      <c r="C6" s="1"/>
      <c r="D6" s="1"/>
      <c r="E6" s="1"/>
      <c r="F6" s="1"/>
      <c r="G6" s="1"/>
      <c r="H6" s="1"/>
      <c r="I6" s="1"/>
      <c r="J6" s="1"/>
      <c r="K6" s="1"/>
      <c r="L6" s="1"/>
      <c r="M6" s="1"/>
      <c r="N6" s="1"/>
      <c r="O6" s="1"/>
      <c r="P6" s="1"/>
      <c r="Q6" s="1"/>
      <c r="R6" s="1"/>
      <c r="S6" s="1"/>
      <c r="T6" s="1"/>
      <c r="U6" s="1"/>
      <c r="V6" s="1"/>
      <c r="W6" s="1"/>
      <c r="X6" s="1"/>
      <c r="Y6" s="1"/>
      <c r="Z6" s="1"/>
    </row>
    <row r="7" ht="14.25" customHeight="1">
      <c r="A7" s="1"/>
      <c r="B7" s="11" t="s">
        <v>33</v>
      </c>
      <c r="C7" s="11" t="s">
        <v>35</v>
      </c>
      <c r="D7" s="11" t="s">
        <v>79</v>
      </c>
      <c r="E7" s="11" t="s">
        <v>80</v>
      </c>
      <c r="F7" s="1"/>
      <c r="G7" s="1"/>
      <c r="H7" s="1"/>
      <c r="I7" s="1"/>
      <c r="J7" s="1"/>
      <c r="K7" s="1"/>
      <c r="L7" s="1"/>
      <c r="M7" s="1"/>
      <c r="N7" s="1"/>
      <c r="O7" s="1"/>
      <c r="P7" s="1"/>
      <c r="Q7" s="1"/>
      <c r="R7" s="1"/>
      <c r="S7" s="1"/>
      <c r="T7" s="1"/>
      <c r="U7" s="1"/>
      <c r="V7" s="1"/>
      <c r="W7" s="1"/>
      <c r="X7" s="1"/>
      <c r="Y7" s="1"/>
      <c r="Z7" s="1"/>
    </row>
    <row r="8" ht="14.25" customHeight="1">
      <c r="A8" s="1"/>
      <c r="B8" s="41">
        <f>COUNTIFS(Issues!K5:K200,"Open",Issues!C5:C200,"&lt;&gt;")</f>
        <v>1</v>
      </c>
      <c r="C8" s="41">
        <f>COUNTIFS(Defects!N5:N200,"Open",Defects!C5:C200,"&lt;&gt;")+COUNTIFS(Defects!N5:N200,"Pending",Defects!C5:C200,"&lt;&gt;")</f>
        <v>8</v>
      </c>
      <c r="D8" s="30">
        <f>COUNTIFS('Q&amp;A'!K5:K200,"Open",'Q&amp;A'!C5:C200,"&lt;&gt;")</f>
        <v>1</v>
      </c>
      <c r="E8" s="51">
        <f>COUNTIF(Risks!F4:F198,"&gt;=4")</f>
        <v>7</v>
      </c>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52" t="s">
        <v>107</v>
      </c>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53" t="s">
        <v>113</v>
      </c>
      <c r="C12" s="53" t="s">
        <v>117</v>
      </c>
      <c r="D12" s="53" t="s">
        <v>12</v>
      </c>
      <c r="E12" s="53" t="s">
        <v>10</v>
      </c>
      <c r="F12" s="53" t="s">
        <v>16</v>
      </c>
      <c r="G12" s="1"/>
      <c r="H12" s="1"/>
      <c r="I12" s="1"/>
      <c r="J12" s="1"/>
      <c r="K12" s="1"/>
      <c r="L12" s="1"/>
      <c r="M12" s="1"/>
      <c r="N12" s="1"/>
      <c r="O12" s="1"/>
      <c r="P12" s="1"/>
      <c r="Q12" s="1"/>
      <c r="R12" s="1"/>
      <c r="S12" s="1"/>
      <c r="T12" s="1"/>
      <c r="U12" s="1"/>
      <c r="V12" s="1"/>
      <c r="W12" s="1"/>
      <c r="X12" s="1"/>
      <c r="Y12" s="1"/>
      <c r="Z12" s="1"/>
    </row>
    <row r="13" ht="14.25" customHeight="1">
      <c r="A13" s="1"/>
      <c r="B13" s="55" t="s">
        <v>124</v>
      </c>
      <c r="C13" s="56" t="s">
        <v>127</v>
      </c>
      <c r="D13" s="57" t="s">
        <v>41</v>
      </c>
      <c r="E13" s="39"/>
      <c r="F13" s="58"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ht="14.25" customHeight="1">
      <c r="A14" s="1"/>
      <c r="B14" s="59" t="s">
        <v>143</v>
      </c>
      <c r="C14" s="60" t="s">
        <v>146</v>
      </c>
      <c r="D14" s="61" t="s">
        <v>69</v>
      </c>
      <c r="E14" s="31"/>
      <c r="F14" s="58"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ht="14.25" customHeight="1">
      <c r="A15" s="1"/>
      <c r="B15" s="55" t="s">
        <v>160</v>
      </c>
      <c r="C15" s="56" t="s">
        <v>161</v>
      </c>
      <c r="D15" s="57" t="s">
        <v>95</v>
      </c>
      <c r="E15" s="39"/>
      <c r="F15" s="58"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ht="14.25" customHeight="1">
      <c r="A16" s="1"/>
      <c r="B16" s="59" t="s">
        <v>173</v>
      </c>
      <c r="C16" s="60" t="s">
        <v>174</v>
      </c>
      <c r="D16" s="61" t="s">
        <v>176</v>
      </c>
      <c r="E16" s="31"/>
      <c r="F16" s="57"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ht="14.25" customHeight="1">
      <c r="A17" s="1"/>
      <c r="B17" s="55" t="s">
        <v>184</v>
      </c>
      <c r="C17" s="56" t="s">
        <v>186</v>
      </c>
      <c r="D17" s="57" t="s">
        <v>187</v>
      </c>
      <c r="E17" s="39"/>
      <c r="F17" s="57"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ht="14.25" customHeight="1">
      <c r="A18" s="1"/>
      <c r="B18" s="59" t="s">
        <v>196</v>
      </c>
      <c r="C18" s="60" t="s">
        <v>197</v>
      </c>
      <c r="D18" s="61" t="s">
        <v>199</v>
      </c>
      <c r="E18" s="31"/>
      <c r="F18" s="57"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52" t="s">
        <v>209</v>
      </c>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68" t="s">
        <v>210</v>
      </c>
      <c r="C21" s="68" t="s">
        <v>213</v>
      </c>
      <c r="D21" s="68" t="s">
        <v>56</v>
      </c>
      <c r="E21" s="68" t="s">
        <v>46</v>
      </c>
      <c r="F21" s="69" t="s">
        <v>214</v>
      </c>
      <c r="G21" s="68" t="s">
        <v>13</v>
      </c>
      <c r="H21" s="1"/>
      <c r="I21" s="1"/>
      <c r="J21" s="1"/>
      <c r="K21" s="1"/>
      <c r="L21" s="1"/>
      <c r="M21" s="1"/>
      <c r="N21" s="1"/>
      <c r="O21" s="1"/>
      <c r="P21" s="1"/>
      <c r="Q21" s="1"/>
      <c r="R21" s="1"/>
      <c r="S21" s="1"/>
      <c r="T21" s="1"/>
      <c r="U21" s="1"/>
      <c r="V21" s="1"/>
      <c r="W21" s="1"/>
      <c r="X21" s="1"/>
      <c r="Y21" s="1"/>
      <c r="Z21" s="1"/>
    </row>
    <row r="22" ht="14.25" customHeight="1">
      <c r="A22" s="1"/>
      <c r="B22" s="59" t="s">
        <v>73</v>
      </c>
      <c r="C22" s="70">
        <f>COUNTIF(WBS!I3:I275,"Iteration 1")</f>
        <v>44</v>
      </c>
      <c r="D22" s="70">
        <f>SUMIF(WBS!I3:I275,"Iteration 1",WBS!H3:H275)</f>
        <v>160</v>
      </c>
      <c r="E22" s="70">
        <f>COUNTIFS(WBS!I3:I275,"Iteration 1",WBS!L3:L275,"Done")</f>
        <v>38</v>
      </c>
      <c r="F22" s="61">
        <f>COUNTIFS(WBS!I3:I275,"Iteration 1",WBS!L3:L275,"In Progress")</f>
        <v>2</v>
      </c>
      <c r="G22" s="72"/>
      <c r="H22" s="1"/>
      <c r="I22" s="1"/>
      <c r="J22" s="1"/>
      <c r="K22" s="1"/>
      <c r="L22" s="1"/>
      <c r="M22" s="1"/>
      <c r="N22" s="1"/>
      <c r="O22" s="1"/>
      <c r="P22" s="1"/>
      <c r="Q22" s="1"/>
      <c r="R22" s="1"/>
      <c r="S22" s="1"/>
      <c r="T22" s="1"/>
      <c r="U22" s="1"/>
      <c r="V22" s="1"/>
      <c r="W22" s="1"/>
      <c r="X22" s="1"/>
      <c r="Y22" s="1"/>
      <c r="Z22" s="1"/>
    </row>
    <row r="23" ht="14.25" customHeight="1">
      <c r="A23" s="1"/>
      <c r="B23" s="55" t="s">
        <v>228</v>
      </c>
      <c r="C23" s="57">
        <f>COUNTIF(WBS!I3:I275,"Iteration 2")</f>
        <v>46</v>
      </c>
      <c r="D23" s="57">
        <f>SUMIF(WBS!I3:I275,"Iteration 2",WBS!H3:H275)</f>
        <v>256</v>
      </c>
      <c r="E23" s="57">
        <f>COUNTIFS(WBS!I3:I275,"Iteration 2",WBS!L3:L275,"Done")</f>
        <v>25</v>
      </c>
      <c r="F23" s="57">
        <f>COUNTIFS(WBS!I3:I275,"Iteration 2",WBS!L3:L275,"In Progress")</f>
        <v>4</v>
      </c>
      <c r="G23" s="73"/>
      <c r="H23" s="1"/>
      <c r="I23" s="1"/>
      <c r="J23" s="1"/>
      <c r="K23" s="1"/>
      <c r="L23" s="1"/>
      <c r="M23" s="1"/>
      <c r="N23" s="1"/>
      <c r="O23" s="1"/>
      <c r="P23" s="1"/>
      <c r="Q23" s="1"/>
      <c r="R23" s="1"/>
      <c r="S23" s="1"/>
      <c r="T23" s="1"/>
      <c r="U23" s="1"/>
      <c r="V23" s="1"/>
      <c r="W23" s="1"/>
      <c r="X23" s="1"/>
      <c r="Y23" s="1"/>
      <c r="Z23" s="1"/>
    </row>
    <row r="24" ht="14.25" customHeight="1">
      <c r="A24" s="1"/>
      <c r="B24" s="59" t="s">
        <v>235</v>
      </c>
      <c r="C24" s="61">
        <f>COUNTIF(WBS!I3:I275,"Iteration 3")</f>
        <v>24</v>
      </c>
      <c r="D24" s="61">
        <f>SUMIF(WBS!I3:I275,"Iteration 3",WBS!H3:H275)</f>
        <v>116</v>
      </c>
      <c r="E24" s="61">
        <f>COUNTIFS(WBS!I3:I275,"Iteration 3",WBS!L3:L275,"Done")</f>
        <v>7</v>
      </c>
      <c r="F24" s="61">
        <f>COUNTIFS(WBS!I3:I275,"Iteration 3",WBS!L3:L275,"In Progress")</f>
        <v>1</v>
      </c>
      <c r="G24" s="72"/>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79" t="s">
        <v>239</v>
      </c>
      <c r="C27" s="13"/>
      <c r="D27" s="13"/>
      <c r="E27" s="13"/>
      <c r="F27" s="13"/>
      <c r="G27" s="13"/>
      <c r="H27" s="13"/>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0" priority="1" operator="equal">
      <formula>"Done"</formula>
    </cfRule>
  </conditionalFormatting>
  <conditionalFormatting sqref="F13:F20 F22:F25">
    <cfRule type="cellIs" dxfId="0" priority="2" operator="equal">
      <formula>"Completed"</formula>
    </cfRule>
  </conditionalFormatting>
  <conditionalFormatting sqref="F13:F20 F22:F25">
    <cfRule type="cellIs" dxfId="0" priority="3" operator="equal">
      <formula>"Closed"</formula>
    </cfRule>
  </conditionalFormatting>
  <conditionalFormatting sqref="F13:F20 F22:F25">
    <cfRule type="cellIs" dxfId="0" priority="4" operator="equal">
      <formula>"Fixed"</formula>
    </cfRule>
  </conditionalFormatting>
  <conditionalFormatting sqref="F13:F20 F22:F25">
    <cfRule type="cellIs" dxfId="0" priority="5" operator="equal">
      <formula>"Approved"</formula>
    </cfRule>
  </conditionalFormatting>
  <conditionalFormatting sqref="F13:F20 F22:F25">
    <cfRule type="cellIs" dxfId="1" priority="6" operator="equal">
      <formula>"In Progress"</formula>
    </cfRule>
  </conditionalFormatting>
  <conditionalFormatting sqref="F13:F20 F22:F25">
    <cfRule type="cellIs" dxfId="2" priority="7" operator="equal">
      <formula>"Open"</formula>
    </cfRule>
  </conditionalFormatting>
  <conditionalFormatting sqref="F13:F20 F22:F25">
    <cfRule type="cellIs" dxfId="1" priority="8" operator="equal">
      <formula>"Pending"</formula>
    </cfRule>
  </conditionalFormatting>
  <conditionalFormatting sqref="F13:F20 F22:F25">
    <cfRule type="cellIs" dxfId="2" priority="9" operator="equal">
      <formula>"Blocked"</formula>
    </cfRule>
  </conditionalFormatting>
  <conditionalFormatting sqref="F13:F20 F22:F25">
    <cfRule type="cellIs" dxfId="3" priority="10" operator="equal">
      <formula>"Cancelled"</formula>
    </cfRule>
  </conditionalFormatting>
  <conditionalFormatting sqref="F13:F20 F22:F25">
    <cfRule type="cellIs" dxfId="2" priority="11" operator="equal">
      <formula>"Rejected"</formula>
    </cfRule>
  </conditionalFormatting>
  <conditionalFormatting sqref="F13:F20 F22:F25">
    <cfRule type="cellIs" dxfId="4" priority="12" operator="equal">
      <formula>"Submitted"</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7.0"/>
    <col customWidth="1" min="2" max="2" width="40.0"/>
    <col customWidth="1" min="3" max="4" width="16.0"/>
    <col customWidth="1" min="5" max="5" width="10.0"/>
    <col customWidth="1" min="6" max="6" width="12.0"/>
    <col customWidth="1" min="7" max="7" width="14.0"/>
    <col customWidth="1" min="8" max="8" width="16.0"/>
    <col customWidth="1" min="9" max="9" width="11.71"/>
    <col customWidth="1" min="10" max="10" width="16.0"/>
    <col customWidth="1" min="11" max="11" width="33.14"/>
    <col customWidth="1" min="12" max="26" width="8.71"/>
  </cols>
  <sheetData>
    <row r="1" ht="27.75" customHeight="1">
      <c r="A1" s="5" t="s">
        <v>0</v>
      </c>
    </row>
    <row r="2" ht="15.75" customHeight="1">
      <c r="A2" s="6" t="s">
        <v>4</v>
      </c>
    </row>
    <row r="3" ht="6.0" customHeight="1"/>
    <row r="4" ht="25.5" customHeight="1">
      <c r="A4" s="8" t="s">
        <v>7</v>
      </c>
      <c r="B4" s="8" t="s">
        <v>8</v>
      </c>
      <c r="C4" s="8" t="s">
        <v>10</v>
      </c>
      <c r="D4" s="8" t="s">
        <v>11</v>
      </c>
      <c r="E4" s="8" t="s">
        <v>12</v>
      </c>
      <c r="F4" s="8" t="s">
        <v>13</v>
      </c>
      <c r="G4" s="8" t="s">
        <v>16</v>
      </c>
      <c r="H4" s="8" t="s">
        <v>18</v>
      </c>
      <c r="I4" s="8" t="s">
        <v>20</v>
      </c>
      <c r="J4" s="8" t="s">
        <v>22</v>
      </c>
      <c r="K4" s="8" t="s">
        <v>24</v>
      </c>
    </row>
    <row r="5" ht="19.5" customHeight="1">
      <c r="A5" s="12" t="s">
        <v>27</v>
      </c>
      <c r="B5" s="13"/>
      <c r="C5" s="13"/>
      <c r="D5" s="13"/>
      <c r="E5" s="13"/>
      <c r="F5" s="13"/>
      <c r="G5" s="13"/>
      <c r="H5" s="13"/>
      <c r="I5" s="13"/>
      <c r="J5" s="13"/>
      <c r="K5" s="16"/>
    </row>
    <row r="6" ht="21.75" customHeight="1">
      <c r="A6" s="20" t="s">
        <v>37</v>
      </c>
      <c r="B6" s="21" t="s">
        <v>40</v>
      </c>
      <c r="C6" s="21"/>
      <c r="D6" s="17"/>
      <c r="E6" s="17" t="s">
        <v>41</v>
      </c>
      <c r="F6" s="24" t="str">
        <f>IFERROR(H6/D6*100,"")</f>
        <v/>
      </c>
      <c r="G6" s="26" t="s">
        <v>46</v>
      </c>
      <c r="H6" s="27"/>
      <c r="I6" s="21"/>
      <c r="J6" s="21"/>
      <c r="K6" s="21"/>
    </row>
    <row r="7" ht="19.5" customHeight="1">
      <c r="A7" s="12" t="s">
        <v>54</v>
      </c>
      <c r="B7" s="13"/>
      <c r="C7" s="13"/>
      <c r="D7" s="13"/>
      <c r="E7" s="13"/>
      <c r="F7" s="13"/>
      <c r="G7" s="13"/>
      <c r="H7" s="13"/>
      <c r="I7" s="13"/>
      <c r="J7" s="13"/>
      <c r="K7" s="16"/>
    </row>
    <row r="8" ht="21.75" customHeight="1">
      <c r="A8" s="20" t="s">
        <v>59</v>
      </c>
      <c r="B8" s="21" t="s">
        <v>60</v>
      </c>
      <c r="C8" s="21"/>
      <c r="D8" s="17"/>
      <c r="E8" s="17" t="s">
        <v>61</v>
      </c>
      <c r="F8" s="24" t="str">
        <f t="shared" ref="F8:F10" si="1">IFERROR(H8/D8*100,"")</f>
        <v/>
      </c>
      <c r="G8" s="26" t="s">
        <v>46</v>
      </c>
      <c r="H8" s="27"/>
      <c r="I8" s="21"/>
      <c r="J8" s="21"/>
      <c r="K8" s="21"/>
    </row>
    <row r="9" ht="21.75" customHeight="1">
      <c r="A9" s="20" t="s">
        <v>65</v>
      </c>
      <c r="B9" s="37" t="s">
        <v>66</v>
      </c>
      <c r="C9" s="37"/>
      <c r="D9" s="42"/>
      <c r="E9" s="42" t="s">
        <v>69</v>
      </c>
      <c r="F9" s="24" t="str">
        <f t="shared" si="1"/>
        <v/>
      </c>
      <c r="G9" s="26" t="s">
        <v>46</v>
      </c>
      <c r="H9" s="27"/>
      <c r="I9" s="37"/>
      <c r="J9" s="37"/>
      <c r="K9" s="37"/>
    </row>
    <row r="10" ht="21.75" customHeight="1">
      <c r="A10" s="20" t="s">
        <v>74</v>
      </c>
      <c r="B10" s="21" t="s">
        <v>75</v>
      </c>
      <c r="C10" s="21"/>
      <c r="D10" s="17"/>
      <c r="E10" s="17" t="s">
        <v>69</v>
      </c>
      <c r="F10" s="24" t="str">
        <f t="shared" si="1"/>
        <v/>
      </c>
      <c r="G10" s="26" t="s">
        <v>46</v>
      </c>
      <c r="H10" s="27"/>
      <c r="I10" s="21"/>
      <c r="J10" s="21"/>
      <c r="K10" s="21"/>
    </row>
    <row r="11" ht="19.5" customHeight="1">
      <c r="A11" s="12" t="s">
        <v>78</v>
      </c>
      <c r="B11" s="13"/>
      <c r="C11" s="13"/>
      <c r="D11" s="13"/>
      <c r="E11" s="13"/>
      <c r="F11" s="13"/>
      <c r="G11" s="13"/>
      <c r="H11" s="13"/>
      <c r="I11" s="13"/>
      <c r="J11" s="13"/>
      <c r="K11" s="16"/>
    </row>
    <row r="12" ht="21.75" customHeight="1">
      <c r="A12" s="20" t="s">
        <v>81</v>
      </c>
      <c r="B12" s="21" t="s">
        <v>82</v>
      </c>
      <c r="C12" s="21"/>
      <c r="D12" s="17"/>
      <c r="E12" s="17" t="s">
        <v>84</v>
      </c>
      <c r="F12" s="24" t="str">
        <f t="shared" ref="F12:F15" si="2">IFERROR(H12/D12*100,"")</f>
        <v/>
      </c>
      <c r="G12" s="26" t="s">
        <v>46</v>
      </c>
      <c r="H12" s="27"/>
      <c r="I12" s="21"/>
      <c r="J12" s="21"/>
      <c r="K12" s="21"/>
    </row>
    <row r="13" ht="21.75" customHeight="1">
      <c r="A13" s="20" t="s">
        <v>87</v>
      </c>
      <c r="B13" s="37" t="s">
        <v>88</v>
      </c>
      <c r="C13" s="37"/>
      <c r="D13" s="42"/>
      <c r="E13" s="42" t="s">
        <v>84</v>
      </c>
      <c r="F13" s="24" t="str">
        <f t="shared" si="2"/>
        <v/>
      </c>
      <c r="G13" s="26" t="s">
        <v>46</v>
      </c>
      <c r="H13" s="27"/>
      <c r="I13" s="37"/>
      <c r="J13" s="37"/>
      <c r="K13" s="37"/>
    </row>
    <row r="14" ht="21.75" customHeight="1">
      <c r="A14" s="20" t="s">
        <v>92</v>
      </c>
      <c r="B14" s="21" t="s">
        <v>94</v>
      </c>
      <c r="C14" s="21"/>
      <c r="D14" s="17"/>
      <c r="E14" s="17" t="s">
        <v>95</v>
      </c>
      <c r="F14" s="24" t="str">
        <f t="shared" si="2"/>
        <v/>
      </c>
      <c r="G14" s="26" t="s">
        <v>46</v>
      </c>
      <c r="H14" s="27"/>
      <c r="I14" s="21"/>
      <c r="J14" s="21"/>
      <c r="K14" s="21"/>
    </row>
    <row r="15" ht="21.75" customHeight="1">
      <c r="A15" s="20" t="s">
        <v>98</v>
      </c>
      <c r="B15" s="37" t="s">
        <v>99</v>
      </c>
      <c r="C15" s="37"/>
      <c r="D15" s="42"/>
      <c r="E15" s="42" t="s">
        <v>95</v>
      </c>
      <c r="F15" s="24" t="str">
        <f t="shared" si="2"/>
        <v/>
      </c>
      <c r="G15" s="26" t="s">
        <v>46</v>
      </c>
      <c r="H15" s="27"/>
      <c r="I15" s="37"/>
      <c r="J15" s="37"/>
      <c r="K15" s="37"/>
    </row>
    <row r="16" ht="19.5" customHeight="1">
      <c r="A16" s="12" t="s">
        <v>101</v>
      </c>
      <c r="B16" s="13"/>
      <c r="C16" s="13"/>
      <c r="D16" s="13"/>
      <c r="E16" s="13"/>
      <c r="F16" s="13"/>
      <c r="G16" s="13"/>
      <c r="H16" s="13"/>
      <c r="I16" s="13"/>
      <c r="J16" s="13"/>
      <c r="K16" s="16"/>
    </row>
    <row r="17" ht="21.75" customHeight="1">
      <c r="A17" s="20" t="s">
        <v>103</v>
      </c>
      <c r="B17" s="21" t="s">
        <v>104</v>
      </c>
      <c r="C17" s="21"/>
      <c r="D17" s="17"/>
      <c r="E17" s="17" t="s">
        <v>105</v>
      </c>
      <c r="F17" s="24" t="str">
        <f t="shared" ref="F17:F22" si="3">IFERROR(H17/D17*100,"")</f>
        <v/>
      </c>
      <c r="G17" s="27" t="s">
        <v>32</v>
      </c>
      <c r="H17" s="27"/>
      <c r="I17" s="21"/>
      <c r="J17" s="21"/>
      <c r="K17" s="21"/>
    </row>
    <row r="18" ht="21.75" customHeight="1">
      <c r="A18" s="20" t="s">
        <v>110</v>
      </c>
      <c r="B18" s="37" t="s">
        <v>111</v>
      </c>
      <c r="C18" s="37"/>
      <c r="D18" s="42"/>
      <c r="E18" s="42" t="s">
        <v>105</v>
      </c>
      <c r="F18" s="24" t="str">
        <f t="shared" si="3"/>
        <v/>
      </c>
      <c r="G18" s="27" t="s">
        <v>32</v>
      </c>
      <c r="H18" s="27"/>
      <c r="I18" s="37"/>
      <c r="J18" s="37"/>
      <c r="K18" s="37"/>
    </row>
    <row r="19" ht="21.75" customHeight="1">
      <c r="A19" s="20" t="s">
        <v>114</v>
      </c>
      <c r="B19" s="21" t="s">
        <v>116</v>
      </c>
      <c r="C19" s="21"/>
      <c r="D19" s="17"/>
      <c r="E19" s="17" t="s">
        <v>105</v>
      </c>
      <c r="F19" s="24" t="str">
        <f t="shared" si="3"/>
        <v/>
      </c>
      <c r="G19" s="27" t="s">
        <v>32</v>
      </c>
      <c r="H19" s="27"/>
      <c r="I19" s="21"/>
      <c r="J19" s="21"/>
      <c r="K19" s="21"/>
    </row>
    <row r="20" ht="21.75" customHeight="1">
      <c r="A20" s="20" t="s">
        <v>120</v>
      </c>
      <c r="B20" s="37" t="s">
        <v>121</v>
      </c>
      <c r="C20" s="37"/>
      <c r="D20" s="42"/>
      <c r="E20" s="42" t="s">
        <v>122</v>
      </c>
      <c r="F20" s="24" t="str">
        <f t="shared" si="3"/>
        <v/>
      </c>
      <c r="G20" s="27" t="s">
        <v>32</v>
      </c>
      <c r="H20" s="27"/>
      <c r="I20" s="37"/>
      <c r="J20" s="37"/>
      <c r="K20" s="37"/>
    </row>
    <row r="21" ht="21.75" customHeight="1">
      <c r="A21" s="20" t="s">
        <v>125</v>
      </c>
      <c r="B21" s="21" t="s">
        <v>126</v>
      </c>
      <c r="C21" s="21"/>
      <c r="D21" s="17"/>
      <c r="E21" s="17" t="s">
        <v>122</v>
      </c>
      <c r="F21" s="24" t="str">
        <f t="shared" si="3"/>
        <v/>
      </c>
      <c r="G21" s="27" t="s">
        <v>32</v>
      </c>
      <c r="H21" s="27"/>
      <c r="I21" s="21"/>
      <c r="J21" s="21"/>
      <c r="K21" s="21"/>
    </row>
    <row r="22" ht="21.75" customHeight="1">
      <c r="A22" s="20" t="s">
        <v>129</v>
      </c>
      <c r="B22" s="37" t="s">
        <v>130</v>
      </c>
      <c r="C22" s="37"/>
      <c r="D22" s="42"/>
      <c r="E22" s="42" t="s">
        <v>122</v>
      </c>
      <c r="F22" s="24" t="str">
        <f t="shared" si="3"/>
        <v/>
      </c>
      <c r="G22" s="27" t="s">
        <v>32</v>
      </c>
      <c r="H22" s="27"/>
      <c r="I22" s="37"/>
      <c r="J22" s="37"/>
      <c r="K22" s="37"/>
    </row>
    <row r="23" ht="19.5" customHeight="1">
      <c r="A23" s="12" t="s">
        <v>134</v>
      </c>
      <c r="B23" s="13"/>
      <c r="C23" s="13"/>
      <c r="D23" s="13"/>
      <c r="E23" s="13"/>
      <c r="F23" s="13"/>
      <c r="G23" s="13"/>
      <c r="H23" s="13"/>
      <c r="I23" s="13"/>
      <c r="J23" s="13"/>
      <c r="K23" s="16"/>
    </row>
    <row r="24" ht="21.75" customHeight="1">
      <c r="A24" s="20" t="s">
        <v>138</v>
      </c>
      <c r="B24" s="21" t="s">
        <v>139</v>
      </c>
      <c r="C24" s="21"/>
      <c r="D24" s="17"/>
      <c r="E24" s="17" t="s">
        <v>140</v>
      </c>
      <c r="F24" s="24" t="str">
        <f t="shared" ref="F24:F29" si="4">IFERROR(H24/D24*100,"")</f>
        <v/>
      </c>
      <c r="G24" s="27" t="s">
        <v>32</v>
      </c>
      <c r="H24" s="27"/>
      <c r="I24" s="21"/>
      <c r="J24" s="21"/>
      <c r="K24" s="21"/>
    </row>
    <row r="25" ht="21.75" customHeight="1">
      <c r="A25" s="20" t="s">
        <v>145</v>
      </c>
      <c r="B25" s="37" t="s">
        <v>147</v>
      </c>
      <c r="C25" s="37"/>
      <c r="D25" s="42"/>
      <c r="E25" s="42" t="s">
        <v>140</v>
      </c>
      <c r="F25" s="24" t="str">
        <f t="shared" si="4"/>
        <v/>
      </c>
      <c r="G25" s="27" t="s">
        <v>32</v>
      </c>
      <c r="H25" s="27"/>
      <c r="I25" s="37"/>
      <c r="J25" s="37"/>
      <c r="K25" s="37"/>
    </row>
    <row r="26" ht="21.75" customHeight="1">
      <c r="A26" s="20" t="s">
        <v>149</v>
      </c>
      <c r="B26" s="21" t="s">
        <v>151</v>
      </c>
      <c r="C26" s="21"/>
      <c r="D26" s="17"/>
      <c r="E26" s="17" t="s">
        <v>140</v>
      </c>
      <c r="F26" s="24" t="str">
        <f t="shared" si="4"/>
        <v/>
      </c>
      <c r="G26" s="27" t="s">
        <v>32</v>
      </c>
      <c r="H26" s="27"/>
      <c r="I26" s="21"/>
      <c r="J26" s="21"/>
      <c r="K26" s="21"/>
    </row>
    <row r="27" ht="21.75" customHeight="1">
      <c r="A27" s="20" t="s">
        <v>155</v>
      </c>
      <c r="B27" s="37" t="s">
        <v>156</v>
      </c>
      <c r="C27" s="37"/>
      <c r="D27" s="42"/>
      <c r="E27" s="42" t="s">
        <v>157</v>
      </c>
      <c r="F27" s="24" t="str">
        <f t="shared" si="4"/>
        <v/>
      </c>
      <c r="G27" s="27" t="s">
        <v>32</v>
      </c>
      <c r="H27" s="27"/>
      <c r="I27" s="37"/>
      <c r="J27" s="37"/>
      <c r="K27" s="37"/>
    </row>
    <row r="28" ht="21.75" customHeight="1">
      <c r="A28" s="20" t="s">
        <v>162</v>
      </c>
      <c r="B28" s="21" t="s">
        <v>163</v>
      </c>
      <c r="C28" s="21"/>
      <c r="D28" s="17"/>
      <c r="E28" s="17" t="s">
        <v>157</v>
      </c>
      <c r="F28" s="24" t="str">
        <f t="shared" si="4"/>
        <v/>
      </c>
      <c r="G28" s="27" t="s">
        <v>32</v>
      </c>
      <c r="H28" s="27"/>
      <c r="I28" s="21"/>
      <c r="J28" s="21"/>
      <c r="K28" s="21"/>
    </row>
    <row r="29" ht="21.75" customHeight="1">
      <c r="A29" s="20" t="s">
        <v>166</v>
      </c>
      <c r="B29" s="37" t="s">
        <v>167</v>
      </c>
      <c r="C29" s="37"/>
      <c r="D29" s="42"/>
      <c r="E29" s="42" t="s">
        <v>157</v>
      </c>
      <c r="F29" s="24" t="str">
        <f t="shared" si="4"/>
        <v/>
      </c>
      <c r="G29" s="27" t="s">
        <v>32</v>
      </c>
      <c r="H29" s="27"/>
      <c r="I29" s="37"/>
      <c r="J29" s="37"/>
      <c r="K29" s="37"/>
    </row>
    <row r="30" ht="19.5" customHeight="1">
      <c r="A30" s="12" t="s">
        <v>169</v>
      </c>
      <c r="B30" s="13"/>
      <c r="C30" s="13"/>
      <c r="D30" s="13"/>
      <c r="E30" s="13"/>
      <c r="F30" s="13"/>
      <c r="G30" s="13"/>
      <c r="H30" s="13"/>
      <c r="I30" s="13"/>
      <c r="J30" s="13"/>
      <c r="K30" s="16"/>
    </row>
    <row r="31" ht="21.75" customHeight="1">
      <c r="A31" s="20" t="s">
        <v>171</v>
      </c>
      <c r="B31" s="21" t="s">
        <v>172</v>
      </c>
      <c r="C31" s="21"/>
      <c r="D31" s="17"/>
      <c r="E31" s="17" t="s">
        <v>175</v>
      </c>
      <c r="F31" s="24" t="str">
        <f t="shared" ref="F31:F36" si="5">IFERROR(H31/D31*100,"")</f>
        <v/>
      </c>
      <c r="G31" s="27" t="s">
        <v>32</v>
      </c>
      <c r="H31" s="27"/>
      <c r="I31" s="21"/>
      <c r="J31" s="21"/>
      <c r="K31" s="21"/>
    </row>
    <row r="32" ht="21.75" customHeight="1">
      <c r="A32" s="20" t="s">
        <v>178</v>
      </c>
      <c r="B32" s="37" t="s">
        <v>179</v>
      </c>
      <c r="C32" s="37"/>
      <c r="D32" s="42"/>
      <c r="E32" s="42" t="s">
        <v>175</v>
      </c>
      <c r="F32" s="24" t="str">
        <f t="shared" si="5"/>
        <v/>
      </c>
      <c r="G32" s="27" t="s">
        <v>32</v>
      </c>
      <c r="H32" s="27"/>
      <c r="I32" s="37"/>
      <c r="J32" s="37"/>
      <c r="K32" s="37"/>
    </row>
    <row r="33" ht="21.75" customHeight="1">
      <c r="A33" s="20" t="s">
        <v>181</v>
      </c>
      <c r="B33" s="21" t="s">
        <v>182</v>
      </c>
      <c r="C33" s="21"/>
      <c r="D33" s="17"/>
      <c r="E33" s="17" t="s">
        <v>175</v>
      </c>
      <c r="F33" s="24" t="str">
        <f t="shared" si="5"/>
        <v/>
      </c>
      <c r="G33" s="27" t="s">
        <v>32</v>
      </c>
      <c r="H33" s="27"/>
      <c r="I33" s="21"/>
      <c r="J33" s="21"/>
      <c r="K33" s="21"/>
    </row>
    <row r="34" ht="21.75" customHeight="1">
      <c r="A34" s="20" t="s">
        <v>188</v>
      </c>
      <c r="B34" s="37" t="s">
        <v>189</v>
      </c>
      <c r="C34" s="37"/>
      <c r="D34" s="42"/>
      <c r="E34" s="42" t="s">
        <v>176</v>
      </c>
      <c r="F34" s="24" t="str">
        <f t="shared" si="5"/>
        <v/>
      </c>
      <c r="G34" s="27" t="s">
        <v>32</v>
      </c>
      <c r="H34" s="27"/>
      <c r="I34" s="37"/>
      <c r="J34" s="37"/>
      <c r="K34" s="37"/>
    </row>
    <row r="35" ht="21.75" customHeight="1">
      <c r="A35" s="20" t="s">
        <v>194</v>
      </c>
      <c r="B35" s="21" t="s">
        <v>195</v>
      </c>
      <c r="C35" s="21"/>
      <c r="D35" s="17"/>
      <c r="E35" s="17" t="s">
        <v>176</v>
      </c>
      <c r="F35" s="24" t="str">
        <f t="shared" si="5"/>
        <v/>
      </c>
      <c r="G35" s="27" t="s">
        <v>32</v>
      </c>
      <c r="H35" s="27"/>
      <c r="I35" s="21"/>
      <c r="J35" s="21"/>
      <c r="K35" s="21"/>
    </row>
    <row r="36" ht="21.75" customHeight="1">
      <c r="A36" s="20" t="s">
        <v>198</v>
      </c>
      <c r="B36" s="37" t="s">
        <v>200</v>
      </c>
      <c r="C36" s="37"/>
      <c r="D36" s="42"/>
      <c r="E36" s="42" t="s">
        <v>176</v>
      </c>
      <c r="F36" s="24" t="str">
        <f t="shared" si="5"/>
        <v/>
      </c>
      <c r="G36" s="27" t="s">
        <v>32</v>
      </c>
      <c r="H36" s="27"/>
      <c r="I36" s="37"/>
      <c r="J36" s="37"/>
      <c r="K36" s="37"/>
    </row>
    <row r="37" ht="19.5" customHeight="1">
      <c r="A37" s="12" t="s">
        <v>201</v>
      </c>
      <c r="B37" s="13"/>
      <c r="C37" s="13"/>
      <c r="D37" s="13"/>
      <c r="E37" s="13"/>
      <c r="F37" s="13"/>
      <c r="G37" s="13"/>
      <c r="H37" s="13"/>
      <c r="I37" s="13"/>
      <c r="J37" s="13"/>
      <c r="K37" s="16"/>
    </row>
    <row r="38" ht="21.75" customHeight="1">
      <c r="A38" s="20" t="s">
        <v>204</v>
      </c>
      <c r="B38" s="21" t="s">
        <v>206</v>
      </c>
      <c r="C38" s="21"/>
      <c r="D38" s="17"/>
      <c r="E38" s="17" t="s">
        <v>208</v>
      </c>
      <c r="F38" s="24" t="str">
        <f t="shared" ref="F38:F41" si="6">IFERROR(H38/D38*100,"")</f>
        <v/>
      </c>
      <c r="G38" s="27" t="s">
        <v>32</v>
      </c>
      <c r="H38" s="27"/>
      <c r="I38" s="21"/>
      <c r="J38" s="21"/>
      <c r="K38" s="21"/>
    </row>
    <row r="39" ht="21.75" customHeight="1">
      <c r="A39" s="20" t="s">
        <v>211</v>
      </c>
      <c r="B39" s="37" t="s">
        <v>212</v>
      </c>
      <c r="C39" s="37"/>
      <c r="D39" s="42"/>
      <c r="E39" s="42" t="s">
        <v>208</v>
      </c>
      <c r="F39" s="24" t="str">
        <f t="shared" si="6"/>
        <v/>
      </c>
      <c r="G39" s="27" t="s">
        <v>32</v>
      </c>
      <c r="H39" s="27"/>
      <c r="I39" s="37"/>
      <c r="J39" s="37"/>
      <c r="K39" s="37"/>
    </row>
    <row r="40" ht="21.75" customHeight="1">
      <c r="A40" s="20" t="s">
        <v>217</v>
      </c>
      <c r="B40" s="21" t="s">
        <v>218</v>
      </c>
      <c r="C40" s="21"/>
      <c r="D40" s="17"/>
      <c r="E40" s="17" t="s">
        <v>187</v>
      </c>
      <c r="F40" s="24" t="str">
        <f t="shared" si="6"/>
        <v/>
      </c>
      <c r="G40" s="27" t="s">
        <v>32</v>
      </c>
      <c r="H40" s="27"/>
      <c r="I40" s="21"/>
      <c r="J40" s="21"/>
      <c r="K40" s="21"/>
    </row>
    <row r="41" ht="21.75" customHeight="1">
      <c r="A41" s="20" t="s">
        <v>221</v>
      </c>
      <c r="B41" s="37" t="s">
        <v>222</v>
      </c>
      <c r="C41" s="37"/>
      <c r="D41" s="42"/>
      <c r="E41" s="42" t="s">
        <v>187</v>
      </c>
      <c r="F41" s="24" t="str">
        <f t="shared" si="6"/>
        <v/>
      </c>
      <c r="G41" s="27" t="s">
        <v>32</v>
      </c>
      <c r="H41" s="27"/>
      <c r="I41" s="37"/>
      <c r="J41" s="37"/>
      <c r="K41" s="37"/>
    </row>
    <row r="42" ht="19.5" customHeight="1">
      <c r="A42" s="12" t="s">
        <v>223</v>
      </c>
      <c r="B42" s="13"/>
      <c r="C42" s="13"/>
      <c r="D42" s="13"/>
      <c r="E42" s="13"/>
      <c r="F42" s="13"/>
      <c r="G42" s="13"/>
      <c r="H42" s="13"/>
      <c r="I42" s="13"/>
      <c r="J42" s="13"/>
      <c r="K42" s="16"/>
    </row>
    <row r="43" ht="21.75" customHeight="1">
      <c r="A43" s="20" t="s">
        <v>225</v>
      </c>
      <c r="B43" s="21" t="s">
        <v>226</v>
      </c>
      <c r="C43" s="21"/>
      <c r="D43" s="17"/>
      <c r="E43" s="17" t="s">
        <v>199</v>
      </c>
      <c r="F43" s="24" t="str">
        <f t="shared" ref="F43:F44" si="7">IFERROR(H43/D43*100,"")</f>
        <v/>
      </c>
      <c r="G43" s="27" t="s">
        <v>32</v>
      </c>
      <c r="H43" s="27"/>
      <c r="I43" s="21"/>
      <c r="J43" s="21"/>
      <c r="K43" s="21"/>
    </row>
    <row r="44" ht="21.75" customHeight="1">
      <c r="A44" s="20" t="s">
        <v>229</v>
      </c>
      <c r="B44" s="37" t="s">
        <v>230</v>
      </c>
      <c r="C44" s="37"/>
      <c r="D44" s="42"/>
      <c r="E44" s="42" t="s">
        <v>199</v>
      </c>
      <c r="F44" s="24" t="str">
        <f t="shared" si="7"/>
        <v/>
      </c>
      <c r="G44" s="27" t="s">
        <v>32</v>
      </c>
      <c r="H44" s="27"/>
      <c r="I44" s="37"/>
      <c r="J44" s="37"/>
      <c r="K44" s="37"/>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0" priority="1" operator="equal">
      <formula>"Done"</formula>
    </cfRule>
  </conditionalFormatting>
  <conditionalFormatting sqref="G5:G1000">
    <cfRule type="cellIs" dxfId="0" priority="2" operator="equal">
      <formula>"Completed"</formula>
    </cfRule>
  </conditionalFormatting>
  <conditionalFormatting sqref="G5:G1000">
    <cfRule type="cellIs" dxfId="0" priority="3" operator="equal">
      <formula>"Closed"</formula>
    </cfRule>
  </conditionalFormatting>
  <conditionalFormatting sqref="G5:G1000">
    <cfRule type="cellIs" dxfId="0" priority="4" operator="equal">
      <formula>"Fixed"</formula>
    </cfRule>
  </conditionalFormatting>
  <conditionalFormatting sqref="G5:G1000">
    <cfRule type="cellIs" dxfId="0" priority="5" operator="equal">
      <formula>"Approved"</formula>
    </cfRule>
  </conditionalFormatting>
  <conditionalFormatting sqref="G5:G1000">
    <cfRule type="cellIs" dxfId="1" priority="6" operator="equal">
      <formula>"In Progress"</formula>
    </cfRule>
  </conditionalFormatting>
  <conditionalFormatting sqref="G5:G1000">
    <cfRule type="cellIs" dxfId="2" priority="7" operator="equal">
      <formula>"Open"</formula>
    </cfRule>
  </conditionalFormatting>
  <conditionalFormatting sqref="G5:G1000">
    <cfRule type="cellIs" dxfId="1" priority="8" operator="equal">
      <formula>"Pending"</formula>
    </cfRule>
  </conditionalFormatting>
  <conditionalFormatting sqref="G5:G1000">
    <cfRule type="cellIs" dxfId="2" priority="9" operator="equal">
      <formula>"Blocked"</formula>
    </cfRule>
  </conditionalFormatting>
  <conditionalFormatting sqref="G5:G1000">
    <cfRule type="cellIs" dxfId="3" priority="10" operator="equal">
      <formula>"Cancelled"</formula>
    </cfRule>
  </conditionalFormatting>
  <conditionalFormatting sqref="G5:G1000">
    <cfRule type="cellIs" dxfId="2" priority="11" operator="equal">
      <formula>"Rejected"</formula>
    </cfRule>
  </conditionalFormatting>
  <conditionalFormatting sqref="G5:G1000">
    <cfRule type="cellIs" dxfId="4" priority="12" operator="equal">
      <formula>"Submitted"</formula>
    </cfRule>
  </conditionalFormatting>
  <dataValidations>
    <dataValidation type="list" allowBlank="1" sqref="G6 G8:G10 G12:G15 G17:G22 G24:G29 G31:G36 G38:G41 G43:G44">
      <formula1>"Not Started,In Progress,Done,Blocked,Deferred"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75623"/>
    <pageSetUpPr/>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0" outlineLevelCol="1"/>
  <cols>
    <col customWidth="1" min="1" max="1" width="5.57"/>
    <col customWidth="1" min="2" max="2" width="29.71"/>
    <col customWidth="1" min="3" max="3" width="13.57"/>
    <col customWidth="1" min="4" max="4" width="20.43"/>
    <col customWidth="1" min="5" max="5" width="16.0"/>
    <col customWidth="1" min="6" max="6" width="35.86"/>
    <col customWidth="1" min="7" max="7" width="12.0"/>
    <col customWidth="1" min="8" max="8" width="14.0"/>
    <col customWidth="1" min="9" max="9" width="16.0"/>
    <col customWidth="1" min="10" max="12" width="14.0"/>
    <col customWidth="1" min="13" max="13" width="20.0"/>
    <col customWidth="1" min="14" max="27" width="8.71"/>
  </cols>
  <sheetData>
    <row r="1" ht="27.75" customHeight="1">
      <c r="A1" s="2"/>
      <c r="B1" s="4" t="s">
        <v>3</v>
      </c>
      <c r="C1" s="2"/>
      <c r="D1" s="2"/>
      <c r="E1" s="2"/>
      <c r="F1" s="2"/>
      <c r="G1" s="2"/>
      <c r="H1" s="2"/>
      <c r="I1" s="2"/>
      <c r="J1" s="2"/>
      <c r="K1" s="2"/>
      <c r="L1" s="2"/>
      <c r="M1" s="2"/>
      <c r="N1" s="1"/>
      <c r="O1" s="1"/>
      <c r="P1" s="1"/>
      <c r="Q1" s="1"/>
      <c r="R1" s="1"/>
      <c r="S1" s="1"/>
      <c r="T1" s="1"/>
      <c r="U1" s="1"/>
      <c r="V1" s="1"/>
      <c r="W1" s="1"/>
      <c r="X1" s="1"/>
      <c r="Y1" s="1"/>
      <c r="Z1" s="1"/>
      <c r="AA1" s="1"/>
    </row>
    <row r="2">
      <c r="A2" s="2"/>
      <c r="B2" s="10" t="s">
        <v>9</v>
      </c>
      <c r="C2" s="2"/>
      <c r="D2" s="2"/>
      <c r="E2" s="2"/>
      <c r="F2" s="2"/>
      <c r="G2" s="2"/>
      <c r="H2" s="2"/>
      <c r="I2" s="2"/>
      <c r="J2" s="2"/>
      <c r="K2" s="2"/>
      <c r="L2" s="2"/>
      <c r="M2" s="2"/>
      <c r="N2" s="1"/>
      <c r="O2" s="1"/>
      <c r="P2" s="1"/>
      <c r="Q2" s="1"/>
      <c r="R2" s="1"/>
      <c r="S2" s="1"/>
      <c r="T2" s="1"/>
      <c r="U2" s="1"/>
      <c r="V2" s="1"/>
      <c r="W2" s="1"/>
      <c r="X2" s="1"/>
      <c r="Y2" s="1"/>
      <c r="Z2" s="1"/>
      <c r="AA2" s="1"/>
    </row>
    <row r="3" ht="36.0" customHeight="1">
      <c r="A3" s="15"/>
      <c r="B3" s="18" t="s">
        <v>9</v>
      </c>
      <c r="C3" s="15"/>
      <c r="D3" s="15"/>
      <c r="E3" s="15"/>
      <c r="F3" s="15"/>
      <c r="G3" s="15"/>
      <c r="H3" s="15"/>
      <c r="I3" s="15"/>
      <c r="J3" s="15"/>
      <c r="K3" s="2"/>
      <c r="L3" s="15"/>
      <c r="M3" s="2"/>
      <c r="N3" s="1"/>
      <c r="O3" s="1"/>
      <c r="P3" s="1"/>
      <c r="Q3" s="1"/>
      <c r="R3" s="1"/>
      <c r="S3" s="1"/>
      <c r="T3" s="1"/>
      <c r="U3" s="1"/>
      <c r="V3" s="1"/>
      <c r="W3" s="1"/>
      <c r="X3" s="1"/>
      <c r="Y3" s="1"/>
      <c r="Z3" s="1"/>
      <c r="AA3" s="1"/>
    </row>
    <row r="4">
      <c r="A4" s="15"/>
      <c r="B4" s="15"/>
      <c r="C4" s="15"/>
      <c r="D4" s="15"/>
      <c r="E4" s="15"/>
      <c r="F4" s="15"/>
      <c r="G4" s="15"/>
      <c r="H4" s="15"/>
      <c r="I4" s="15"/>
      <c r="J4" s="15"/>
      <c r="K4" s="2"/>
      <c r="L4" s="15"/>
      <c r="M4" s="2"/>
      <c r="N4" s="1"/>
      <c r="O4" s="1"/>
      <c r="P4" s="1"/>
      <c r="Q4" s="1"/>
      <c r="R4" s="1"/>
      <c r="S4" s="1"/>
      <c r="T4" s="1"/>
      <c r="U4" s="1"/>
      <c r="V4" s="1"/>
      <c r="W4" s="1"/>
      <c r="X4" s="1"/>
      <c r="Y4" s="1"/>
      <c r="Z4" s="1"/>
      <c r="AA4" s="1"/>
    </row>
    <row r="5">
      <c r="A5" s="28" t="s">
        <v>7</v>
      </c>
      <c r="B5" s="29" t="s">
        <v>49</v>
      </c>
      <c r="C5" s="29" t="s">
        <v>50</v>
      </c>
      <c r="D5" s="29" t="s">
        <v>51</v>
      </c>
      <c r="E5" s="29" t="s">
        <v>52</v>
      </c>
      <c r="F5" s="29" t="s">
        <v>53</v>
      </c>
      <c r="G5" s="29" t="s">
        <v>55</v>
      </c>
      <c r="H5" s="29" t="s">
        <v>56</v>
      </c>
      <c r="I5" s="29" t="s">
        <v>57</v>
      </c>
      <c r="J5" s="29" t="s">
        <v>10</v>
      </c>
      <c r="K5" s="32" t="s">
        <v>58</v>
      </c>
      <c r="L5" s="29" t="s">
        <v>16</v>
      </c>
      <c r="M5" s="32" t="s">
        <v>24</v>
      </c>
      <c r="N5" s="1"/>
      <c r="O5" s="1"/>
      <c r="P5" s="1"/>
      <c r="Q5" s="1"/>
      <c r="R5" s="1"/>
      <c r="S5" s="1"/>
      <c r="T5" s="1"/>
      <c r="U5" s="1"/>
      <c r="V5" s="1"/>
      <c r="W5" s="1"/>
      <c r="X5" s="1"/>
      <c r="Y5" s="1"/>
      <c r="Z5" s="1"/>
      <c r="AA5" s="1"/>
    </row>
    <row r="6">
      <c r="A6" s="33">
        <v>1.0</v>
      </c>
      <c r="B6" s="34" t="s">
        <v>62</v>
      </c>
      <c r="C6" s="36" t="s">
        <v>63</v>
      </c>
      <c r="D6" s="40" t="s">
        <v>67</v>
      </c>
      <c r="E6" s="43" t="s">
        <v>68</v>
      </c>
      <c r="F6" s="40" t="s">
        <v>70</v>
      </c>
      <c r="G6" s="44" t="s">
        <v>71</v>
      </c>
      <c r="H6" s="43">
        <v>3.0</v>
      </c>
      <c r="I6" s="45" t="s">
        <v>73</v>
      </c>
      <c r="J6" s="46" t="s">
        <v>76</v>
      </c>
      <c r="K6" s="47"/>
      <c r="L6" s="48" t="s">
        <v>46</v>
      </c>
      <c r="M6" s="47"/>
      <c r="N6" s="1"/>
      <c r="O6" s="1"/>
      <c r="P6" s="1"/>
      <c r="Q6" s="1"/>
      <c r="R6" s="1"/>
      <c r="S6" s="1"/>
      <c r="T6" s="1"/>
      <c r="U6" s="1"/>
      <c r="V6" s="1"/>
      <c r="W6" s="1"/>
      <c r="X6" s="1"/>
      <c r="Y6" s="1"/>
      <c r="Z6" s="1"/>
      <c r="AA6" s="1"/>
    </row>
    <row r="7">
      <c r="A7" s="49">
        <v>2.0</v>
      </c>
      <c r="B7" s="34" t="s">
        <v>83</v>
      </c>
      <c r="C7" s="36" t="s">
        <v>63</v>
      </c>
      <c r="D7" s="40" t="s">
        <v>67</v>
      </c>
      <c r="E7" s="43" t="s">
        <v>68</v>
      </c>
      <c r="F7" s="40" t="s">
        <v>86</v>
      </c>
      <c r="G7" s="44" t="s">
        <v>71</v>
      </c>
      <c r="H7" s="43">
        <v>3.0</v>
      </c>
      <c r="I7" s="45" t="s">
        <v>73</v>
      </c>
      <c r="J7" s="46" t="s">
        <v>76</v>
      </c>
      <c r="K7" s="50"/>
      <c r="L7" s="48" t="s">
        <v>46</v>
      </c>
      <c r="M7" s="50"/>
      <c r="N7" s="1"/>
      <c r="O7" s="1"/>
      <c r="P7" s="1"/>
      <c r="Q7" s="1"/>
      <c r="R7" s="1"/>
      <c r="S7" s="1"/>
      <c r="T7" s="1"/>
      <c r="U7" s="1"/>
      <c r="V7" s="1"/>
      <c r="W7" s="1"/>
      <c r="X7" s="1"/>
      <c r="Y7" s="1"/>
      <c r="Z7" s="1"/>
      <c r="AA7" s="1"/>
    </row>
    <row r="8">
      <c r="A8" s="33">
        <v>3.0</v>
      </c>
      <c r="B8" s="34" t="s">
        <v>90</v>
      </c>
      <c r="C8" s="36" t="s">
        <v>63</v>
      </c>
      <c r="D8" s="40" t="s">
        <v>67</v>
      </c>
      <c r="E8" s="43" t="s">
        <v>68</v>
      </c>
      <c r="F8" s="40" t="s">
        <v>91</v>
      </c>
      <c r="G8" s="44" t="s">
        <v>71</v>
      </c>
      <c r="H8" s="43">
        <v>3.0</v>
      </c>
      <c r="I8" s="45" t="s">
        <v>73</v>
      </c>
      <c r="J8" s="46" t="s">
        <v>76</v>
      </c>
      <c r="K8" s="50"/>
      <c r="L8" s="48" t="s">
        <v>46</v>
      </c>
      <c r="M8" s="50"/>
      <c r="N8" s="1"/>
      <c r="O8" s="1"/>
      <c r="P8" s="1"/>
      <c r="Q8" s="1"/>
      <c r="R8" s="1"/>
      <c r="S8" s="1"/>
      <c r="T8" s="1"/>
      <c r="U8" s="1"/>
      <c r="V8" s="1"/>
      <c r="W8" s="1"/>
      <c r="X8" s="1"/>
      <c r="Y8" s="1"/>
      <c r="Z8" s="1"/>
      <c r="AA8" s="1"/>
    </row>
    <row r="9">
      <c r="A9" s="49">
        <v>4.0</v>
      </c>
      <c r="B9" s="34" t="s">
        <v>97</v>
      </c>
      <c r="C9" s="36" t="s">
        <v>63</v>
      </c>
      <c r="D9" s="40" t="s">
        <v>67</v>
      </c>
      <c r="E9" s="43" t="s">
        <v>68</v>
      </c>
      <c r="F9" s="40" t="s">
        <v>100</v>
      </c>
      <c r="G9" s="44" t="s">
        <v>71</v>
      </c>
      <c r="H9" s="43">
        <v>3.0</v>
      </c>
      <c r="I9" s="45" t="s">
        <v>73</v>
      </c>
      <c r="J9" s="46" t="s">
        <v>76</v>
      </c>
      <c r="K9" s="47"/>
      <c r="L9" s="48" t="s">
        <v>46</v>
      </c>
      <c r="M9" s="47"/>
      <c r="N9" s="1"/>
      <c r="O9" s="1"/>
      <c r="P9" s="1"/>
      <c r="Q9" s="1"/>
      <c r="R9" s="1"/>
      <c r="S9" s="1"/>
      <c r="T9" s="1"/>
      <c r="U9" s="1"/>
      <c r="V9" s="1"/>
      <c r="W9" s="1"/>
      <c r="X9" s="1"/>
      <c r="Y9" s="1"/>
      <c r="Z9" s="1"/>
      <c r="AA9" s="1"/>
    </row>
    <row r="10">
      <c r="A10" s="33">
        <v>5.0</v>
      </c>
      <c r="B10" s="34" t="s">
        <v>106</v>
      </c>
      <c r="C10" s="36" t="s">
        <v>63</v>
      </c>
      <c r="D10" s="40" t="s">
        <v>67</v>
      </c>
      <c r="E10" s="43" t="s">
        <v>68</v>
      </c>
      <c r="F10" s="40" t="s">
        <v>109</v>
      </c>
      <c r="G10" s="44" t="s">
        <v>71</v>
      </c>
      <c r="H10" s="43">
        <v>3.0</v>
      </c>
      <c r="I10" s="45" t="s">
        <v>73</v>
      </c>
      <c r="J10" s="46" t="s">
        <v>76</v>
      </c>
      <c r="K10" s="50"/>
      <c r="L10" s="48" t="s">
        <v>46</v>
      </c>
      <c r="M10" s="50"/>
      <c r="N10" s="1"/>
      <c r="O10" s="1"/>
      <c r="P10" s="1"/>
      <c r="Q10" s="1"/>
      <c r="R10" s="1"/>
      <c r="S10" s="1"/>
      <c r="T10" s="1"/>
      <c r="U10" s="1"/>
      <c r="V10" s="1"/>
      <c r="W10" s="1"/>
      <c r="X10" s="1"/>
      <c r="Y10" s="1"/>
      <c r="Z10" s="1"/>
      <c r="AA10" s="1"/>
    </row>
    <row r="11">
      <c r="A11" s="49">
        <v>6.0</v>
      </c>
      <c r="B11" s="34" t="s">
        <v>115</v>
      </c>
      <c r="C11" s="36" t="s">
        <v>63</v>
      </c>
      <c r="D11" s="40" t="s">
        <v>67</v>
      </c>
      <c r="E11" s="43" t="s">
        <v>118</v>
      </c>
      <c r="F11" s="40" t="s">
        <v>119</v>
      </c>
      <c r="G11" s="44" t="s">
        <v>71</v>
      </c>
      <c r="H11" s="43">
        <v>3.0</v>
      </c>
      <c r="I11" s="45" t="s">
        <v>73</v>
      </c>
      <c r="J11" s="46" t="s">
        <v>76</v>
      </c>
      <c r="K11" s="47"/>
      <c r="L11" s="54" t="s">
        <v>31</v>
      </c>
      <c r="M11" s="47"/>
      <c r="N11" s="1"/>
      <c r="O11" s="1"/>
      <c r="P11" s="1"/>
      <c r="Q11" s="1"/>
      <c r="R11" s="1"/>
      <c r="S11" s="1"/>
      <c r="T11" s="1"/>
      <c r="U11" s="1"/>
      <c r="V11" s="1"/>
      <c r="W11" s="1"/>
      <c r="X11" s="1"/>
      <c r="Y11" s="1"/>
      <c r="Z11" s="1"/>
      <c r="AA11" s="1"/>
    </row>
    <row r="12">
      <c r="A12" s="33">
        <v>7.0</v>
      </c>
      <c r="B12" s="34" t="s">
        <v>128</v>
      </c>
      <c r="C12" s="36" t="s">
        <v>63</v>
      </c>
      <c r="D12" s="40" t="s">
        <v>67</v>
      </c>
      <c r="E12" s="43" t="s">
        <v>118</v>
      </c>
      <c r="F12" s="40" t="s">
        <v>131</v>
      </c>
      <c r="G12" s="44" t="s">
        <v>71</v>
      </c>
      <c r="H12" s="43">
        <v>3.0</v>
      </c>
      <c r="I12" s="45" t="s">
        <v>73</v>
      </c>
      <c r="J12" s="46" t="s">
        <v>76</v>
      </c>
      <c r="K12" s="50"/>
      <c r="L12" s="54" t="s">
        <v>31</v>
      </c>
      <c r="M12" s="50" t="s">
        <v>132</v>
      </c>
      <c r="N12" s="1"/>
      <c r="O12" s="1"/>
      <c r="P12" s="1"/>
      <c r="Q12" s="1"/>
      <c r="R12" s="1"/>
      <c r="S12" s="1"/>
      <c r="T12" s="1"/>
      <c r="U12" s="1"/>
      <c r="V12" s="1"/>
      <c r="W12" s="1"/>
      <c r="X12" s="1"/>
      <c r="Y12" s="1"/>
      <c r="Z12" s="1"/>
      <c r="AA12" s="1"/>
    </row>
    <row r="13">
      <c r="A13" s="49">
        <v>8.0</v>
      </c>
      <c r="B13" s="34" t="s">
        <v>133</v>
      </c>
      <c r="C13" s="36" t="s">
        <v>63</v>
      </c>
      <c r="D13" s="40" t="s">
        <v>67</v>
      </c>
      <c r="E13" s="43" t="s">
        <v>135</v>
      </c>
      <c r="F13" s="40" t="s">
        <v>137</v>
      </c>
      <c r="G13" s="44" t="s">
        <v>71</v>
      </c>
      <c r="H13" s="43">
        <v>3.0</v>
      </c>
      <c r="I13" s="45" t="s">
        <v>73</v>
      </c>
      <c r="J13" s="46" t="s">
        <v>76</v>
      </c>
      <c r="K13" s="47"/>
      <c r="L13" s="48" t="s">
        <v>46</v>
      </c>
      <c r="M13" s="47" t="s">
        <v>141</v>
      </c>
      <c r="N13" s="1"/>
      <c r="O13" s="1"/>
      <c r="P13" s="1"/>
      <c r="Q13" s="1"/>
      <c r="R13" s="1"/>
      <c r="S13" s="1"/>
      <c r="T13" s="1"/>
      <c r="U13" s="1"/>
      <c r="V13" s="1"/>
      <c r="W13" s="1"/>
      <c r="X13" s="1"/>
      <c r="Y13" s="1"/>
      <c r="Z13" s="1"/>
      <c r="AA13" s="1"/>
    </row>
    <row r="14">
      <c r="A14" s="33">
        <v>9.0</v>
      </c>
      <c r="B14" s="34" t="s">
        <v>142</v>
      </c>
      <c r="C14" s="36" t="s">
        <v>63</v>
      </c>
      <c r="D14" s="40" t="s">
        <v>67</v>
      </c>
      <c r="E14" s="43" t="s">
        <v>135</v>
      </c>
      <c r="F14" s="40" t="s">
        <v>144</v>
      </c>
      <c r="G14" s="44" t="s">
        <v>71</v>
      </c>
      <c r="H14" s="43">
        <v>3.0</v>
      </c>
      <c r="I14" s="45" t="s">
        <v>73</v>
      </c>
      <c r="J14" s="46" t="s">
        <v>76</v>
      </c>
      <c r="K14" s="50"/>
      <c r="L14" s="48" t="s">
        <v>46</v>
      </c>
      <c r="M14" s="50" t="s">
        <v>148</v>
      </c>
      <c r="N14" s="1"/>
      <c r="O14" s="1"/>
      <c r="P14" s="1"/>
      <c r="Q14" s="1"/>
      <c r="R14" s="1"/>
      <c r="S14" s="1"/>
      <c r="T14" s="1"/>
      <c r="U14" s="1"/>
      <c r="V14" s="1"/>
      <c r="W14" s="1"/>
      <c r="X14" s="1"/>
      <c r="Y14" s="1"/>
      <c r="Z14" s="1"/>
      <c r="AA14" s="1"/>
    </row>
    <row r="15">
      <c r="A15" s="49">
        <v>10.0</v>
      </c>
      <c r="B15" s="34" t="s">
        <v>150</v>
      </c>
      <c r="C15" s="36" t="s">
        <v>63</v>
      </c>
      <c r="D15" s="40" t="s">
        <v>67</v>
      </c>
      <c r="E15" s="43" t="s">
        <v>135</v>
      </c>
      <c r="F15" s="40" t="s">
        <v>153</v>
      </c>
      <c r="G15" s="44" t="s">
        <v>71</v>
      </c>
      <c r="H15" s="43">
        <v>3.0</v>
      </c>
      <c r="I15" s="45" t="s">
        <v>73</v>
      </c>
      <c r="J15" s="46" t="s">
        <v>76</v>
      </c>
      <c r="K15" s="47"/>
      <c r="L15" s="48" t="s">
        <v>46</v>
      </c>
      <c r="M15" s="47" t="s">
        <v>154</v>
      </c>
      <c r="N15" s="1"/>
      <c r="O15" s="1"/>
      <c r="P15" s="1"/>
      <c r="Q15" s="1"/>
      <c r="R15" s="1"/>
      <c r="S15" s="1"/>
      <c r="T15" s="1"/>
      <c r="U15" s="1"/>
      <c r="V15" s="1"/>
      <c r="W15" s="1"/>
      <c r="X15" s="1"/>
      <c r="Y15" s="1"/>
      <c r="Z15" s="1"/>
      <c r="AA15" s="1"/>
    </row>
    <row r="16">
      <c r="A16" s="33">
        <v>11.0</v>
      </c>
      <c r="B16" s="34" t="s">
        <v>158</v>
      </c>
      <c r="C16" s="36" t="s">
        <v>63</v>
      </c>
      <c r="D16" s="40" t="s">
        <v>67</v>
      </c>
      <c r="E16" s="43" t="s">
        <v>135</v>
      </c>
      <c r="F16" s="40" t="s">
        <v>159</v>
      </c>
      <c r="G16" s="44" t="s">
        <v>71</v>
      </c>
      <c r="H16" s="43">
        <v>3.0</v>
      </c>
      <c r="I16" s="45" t="s">
        <v>73</v>
      </c>
      <c r="J16" s="46" t="s">
        <v>76</v>
      </c>
      <c r="K16" s="50"/>
      <c r="L16" s="48" t="s">
        <v>46</v>
      </c>
      <c r="M16" s="50" t="s">
        <v>165</v>
      </c>
      <c r="N16" s="1"/>
      <c r="O16" s="1"/>
      <c r="P16" s="1"/>
      <c r="Q16" s="1"/>
      <c r="R16" s="1"/>
      <c r="S16" s="1"/>
      <c r="T16" s="1"/>
      <c r="U16" s="1"/>
      <c r="V16" s="1"/>
      <c r="W16" s="1"/>
      <c r="X16" s="1"/>
      <c r="Y16" s="1"/>
      <c r="Z16" s="1"/>
      <c r="AA16" s="1"/>
    </row>
    <row r="17">
      <c r="A17" s="49">
        <v>12.0</v>
      </c>
      <c r="B17" s="34" t="s">
        <v>168</v>
      </c>
      <c r="C17" s="36" t="s">
        <v>63</v>
      </c>
      <c r="D17" s="40" t="s">
        <v>67</v>
      </c>
      <c r="E17" s="43" t="s">
        <v>135</v>
      </c>
      <c r="F17" s="40" t="s">
        <v>170</v>
      </c>
      <c r="G17" s="62" t="s">
        <v>43</v>
      </c>
      <c r="H17" s="43">
        <v>5.0</v>
      </c>
      <c r="I17" s="45" t="s">
        <v>73</v>
      </c>
      <c r="J17" s="46" t="s">
        <v>76</v>
      </c>
      <c r="K17" s="47"/>
      <c r="L17" s="48" t="s">
        <v>46</v>
      </c>
      <c r="M17" s="63" t="s">
        <v>180</v>
      </c>
      <c r="N17" s="1"/>
      <c r="O17" s="1"/>
      <c r="P17" s="1"/>
      <c r="Q17" s="1"/>
      <c r="R17" s="1"/>
      <c r="S17" s="1"/>
      <c r="T17" s="1"/>
      <c r="U17" s="1"/>
      <c r="V17" s="1"/>
      <c r="W17" s="1"/>
      <c r="X17" s="1"/>
      <c r="Y17" s="1"/>
      <c r="Z17" s="1"/>
      <c r="AA17" s="1"/>
    </row>
    <row r="18">
      <c r="A18" s="33">
        <v>13.0</v>
      </c>
      <c r="B18" s="34" t="s">
        <v>183</v>
      </c>
      <c r="C18" s="64" t="s">
        <v>185</v>
      </c>
      <c r="D18" s="40" t="s">
        <v>67</v>
      </c>
      <c r="E18" s="43" t="s">
        <v>190</v>
      </c>
      <c r="F18" s="40" t="s">
        <v>191</v>
      </c>
      <c r="G18" s="65" t="s">
        <v>192</v>
      </c>
      <c r="H18" s="43">
        <v>8.0</v>
      </c>
      <c r="I18" s="45" t="s">
        <v>73</v>
      </c>
      <c r="J18" s="46" t="s">
        <v>76</v>
      </c>
      <c r="K18" s="50"/>
      <c r="L18" s="66" t="s">
        <v>32</v>
      </c>
      <c r="M18" s="50"/>
      <c r="N18" s="1"/>
      <c r="O18" s="1"/>
      <c r="P18" s="1"/>
      <c r="Q18" s="1"/>
      <c r="R18" s="1"/>
      <c r="S18" s="1"/>
      <c r="T18" s="1"/>
      <c r="U18" s="1"/>
      <c r="V18" s="1"/>
      <c r="W18" s="1"/>
      <c r="X18" s="1"/>
      <c r="Y18" s="1"/>
      <c r="Z18" s="1"/>
      <c r="AA18" s="1"/>
    </row>
    <row r="19">
      <c r="A19" s="49">
        <v>14.0</v>
      </c>
      <c r="B19" s="34" t="s">
        <v>202</v>
      </c>
      <c r="C19" s="36" t="s">
        <v>63</v>
      </c>
      <c r="D19" s="40" t="s">
        <v>67</v>
      </c>
      <c r="E19" s="43" t="s">
        <v>205</v>
      </c>
      <c r="F19" s="40" t="s">
        <v>207</v>
      </c>
      <c r="G19" s="44" t="s">
        <v>71</v>
      </c>
      <c r="H19" s="43">
        <v>3.0</v>
      </c>
      <c r="I19" s="45" t="s">
        <v>73</v>
      </c>
      <c r="J19" s="46" t="s">
        <v>76</v>
      </c>
      <c r="K19" s="47"/>
      <c r="L19" s="66" t="s">
        <v>32</v>
      </c>
      <c r="M19" s="67"/>
      <c r="N19" s="1"/>
      <c r="O19" s="1"/>
      <c r="P19" s="1"/>
      <c r="Q19" s="1"/>
      <c r="R19" s="1"/>
      <c r="S19" s="1"/>
      <c r="T19" s="1"/>
      <c r="U19" s="1"/>
      <c r="V19" s="1"/>
      <c r="W19" s="1"/>
      <c r="X19" s="1"/>
      <c r="Y19" s="1"/>
      <c r="Z19" s="1"/>
      <c r="AA19" s="1"/>
    </row>
    <row r="20">
      <c r="A20" s="33">
        <v>15.0</v>
      </c>
      <c r="B20" s="34" t="s">
        <v>216</v>
      </c>
      <c r="C20" s="36" t="s">
        <v>63</v>
      </c>
      <c r="D20" s="40" t="s">
        <v>67</v>
      </c>
      <c r="E20" s="43" t="s">
        <v>219</v>
      </c>
      <c r="F20" s="40" t="s">
        <v>220</v>
      </c>
      <c r="G20" s="44" t="s">
        <v>71</v>
      </c>
      <c r="H20" s="43">
        <v>5.0</v>
      </c>
      <c r="I20" s="45" t="s">
        <v>73</v>
      </c>
      <c r="J20" s="46" t="s">
        <v>76</v>
      </c>
      <c r="K20" s="50"/>
      <c r="L20" s="66" t="s">
        <v>32</v>
      </c>
      <c r="M20" s="50"/>
      <c r="N20" s="1"/>
      <c r="O20" s="1"/>
      <c r="P20" s="1"/>
      <c r="Q20" s="1"/>
      <c r="R20" s="1"/>
      <c r="S20" s="1"/>
      <c r="T20" s="1"/>
      <c r="U20" s="1"/>
      <c r="V20" s="1"/>
      <c r="W20" s="1"/>
      <c r="X20" s="1"/>
      <c r="Y20" s="1"/>
      <c r="Z20" s="1"/>
      <c r="AA20" s="1"/>
    </row>
    <row r="21">
      <c r="A21" s="49">
        <v>16.0</v>
      </c>
      <c r="B21" s="34" t="s">
        <v>224</v>
      </c>
      <c r="C21" s="36" t="s">
        <v>63</v>
      </c>
      <c r="D21" s="40" t="s">
        <v>67</v>
      </c>
      <c r="E21" s="43" t="s">
        <v>219</v>
      </c>
      <c r="F21" s="40" t="s">
        <v>227</v>
      </c>
      <c r="G21" s="62" t="s">
        <v>43</v>
      </c>
      <c r="H21" s="43">
        <v>5.0</v>
      </c>
      <c r="I21" s="45" t="s">
        <v>73</v>
      </c>
      <c r="J21" s="46" t="s">
        <v>76</v>
      </c>
      <c r="K21" s="47"/>
      <c r="L21" s="66" t="s">
        <v>32</v>
      </c>
      <c r="M21" s="67"/>
      <c r="N21" s="1"/>
      <c r="O21" s="1"/>
      <c r="P21" s="1"/>
      <c r="Q21" s="1"/>
      <c r="R21" s="1"/>
      <c r="S21" s="1"/>
      <c r="T21" s="1"/>
      <c r="U21" s="1"/>
      <c r="V21" s="1"/>
      <c r="W21" s="1"/>
      <c r="X21" s="1"/>
      <c r="Y21" s="1"/>
      <c r="Z21" s="1"/>
      <c r="AA21" s="1"/>
    </row>
    <row r="22">
      <c r="A22" s="33">
        <v>17.0</v>
      </c>
      <c r="B22" s="34" t="s">
        <v>231</v>
      </c>
      <c r="C22" s="36" t="s">
        <v>63</v>
      </c>
      <c r="D22" s="40" t="s">
        <v>232</v>
      </c>
      <c r="E22" s="43" t="s">
        <v>233</v>
      </c>
      <c r="F22" s="40" t="s">
        <v>234</v>
      </c>
      <c r="G22" s="65" t="s">
        <v>192</v>
      </c>
      <c r="H22" s="43">
        <v>8.0</v>
      </c>
      <c r="I22" s="45" t="s">
        <v>73</v>
      </c>
      <c r="J22" s="46" t="s">
        <v>76</v>
      </c>
      <c r="K22" s="50"/>
      <c r="L22" s="48" t="s">
        <v>46</v>
      </c>
      <c r="M22" s="50"/>
      <c r="N22" s="1"/>
      <c r="O22" s="1"/>
      <c r="P22" s="1"/>
      <c r="Q22" s="1"/>
      <c r="R22" s="1"/>
      <c r="S22" s="1"/>
      <c r="T22" s="1"/>
      <c r="U22" s="1"/>
      <c r="V22" s="1"/>
      <c r="W22" s="1"/>
      <c r="X22" s="1"/>
      <c r="Y22" s="1"/>
      <c r="Z22" s="1"/>
      <c r="AA22" s="1"/>
    </row>
    <row r="23">
      <c r="A23" s="33">
        <v>19.0</v>
      </c>
      <c r="B23" s="34" t="s">
        <v>236</v>
      </c>
      <c r="C23" s="36" t="s">
        <v>63</v>
      </c>
      <c r="D23" s="40" t="s">
        <v>232</v>
      </c>
      <c r="E23" s="43" t="s">
        <v>237</v>
      </c>
      <c r="F23" s="40" t="s">
        <v>238</v>
      </c>
      <c r="G23" s="74" t="s">
        <v>43</v>
      </c>
      <c r="H23" s="75">
        <v>5.0</v>
      </c>
      <c r="I23" s="76" t="s">
        <v>73</v>
      </c>
      <c r="J23" s="46" t="s">
        <v>76</v>
      </c>
      <c r="K23" s="77"/>
      <c r="L23" s="78" t="s">
        <v>46</v>
      </c>
      <c r="M23" s="77"/>
      <c r="N23" s="1"/>
      <c r="O23" s="1"/>
      <c r="P23" s="1"/>
      <c r="Q23" s="1"/>
      <c r="R23" s="1"/>
      <c r="S23" s="1"/>
      <c r="T23" s="1"/>
      <c r="U23" s="1"/>
      <c r="V23" s="1"/>
      <c r="W23" s="1"/>
      <c r="X23" s="1"/>
      <c r="Y23" s="1"/>
      <c r="Z23" s="1"/>
      <c r="AA23" s="1"/>
    </row>
    <row r="24">
      <c r="A24" s="49">
        <v>20.0</v>
      </c>
      <c r="B24" s="34" t="s">
        <v>240</v>
      </c>
      <c r="C24" s="36" t="s">
        <v>63</v>
      </c>
      <c r="D24" s="40" t="s">
        <v>232</v>
      </c>
      <c r="E24" s="43" t="s">
        <v>237</v>
      </c>
      <c r="F24" s="40" t="s">
        <v>241</v>
      </c>
      <c r="G24" s="74" t="s">
        <v>43</v>
      </c>
      <c r="H24" s="75">
        <v>5.0</v>
      </c>
      <c r="I24" s="76" t="s">
        <v>73</v>
      </c>
      <c r="J24" s="46" t="s">
        <v>76</v>
      </c>
      <c r="K24" s="77"/>
      <c r="L24" s="78" t="s">
        <v>46</v>
      </c>
      <c r="M24" s="77"/>
      <c r="N24" s="1"/>
      <c r="O24" s="1"/>
      <c r="P24" s="1"/>
      <c r="Q24" s="1"/>
      <c r="R24" s="1"/>
      <c r="S24" s="1"/>
      <c r="T24" s="1"/>
      <c r="U24" s="1"/>
      <c r="V24" s="1"/>
      <c r="W24" s="1"/>
      <c r="X24" s="1"/>
      <c r="Y24" s="1"/>
      <c r="Z24" s="1"/>
      <c r="AA24" s="1"/>
    </row>
    <row r="25">
      <c r="A25" s="33">
        <v>21.0</v>
      </c>
      <c r="B25" s="34" t="s">
        <v>242</v>
      </c>
      <c r="C25" s="36" t="s">
        <v>63</v>
      </c>
      <c r="D25" s="40" t="s">
        <v>232</v>
      </c>
      <c r="E25" s="43" t="s">
        <v>237</v>
      </c>
      <c r="F25" s="40" t="s">
        <v>243</v>
      </c>
      <c r="G25" s="80" t="s">
        <v>71</v>
      </c>
      <c r="H25" s="75">
        <v>3.0</v>
      </c>
      <c r="I25" s="76" t="s">
        <v>73</v>
      </c>
      <c r="J25" s="63" t="s">
        <v>76</v>
      </c>
      <c r="K25" s="77"/>
      <c r="L25" s="78" t="s">
        <v>46</v>
      </c>
      <c r="M25" s="77"/>
      <c r="N25" s="1"/>
      <c r="O25" s="1"/>
      <c r="P25" s="1"/>
      <c r="Q25" s="1"/>
      <c r="R25" s="1"/>
      <c r="S25" s="1"/>
      <c r="T25" s="1"/>
      <c r="U25" s="1"/>
      <c r="V25" s="1"/>
      <c r="W25" s="1"/>
      <c r="X25" s="1"/>
      <c r="Y25" s="1"/>
      <c r="Z25" s="1"/>
      <c r="AA25" s="1"/>
    </row>
    <row r="26">
      <c r="A26" s="49">
        <v>22.0</v>
      </c>
      <c r="B26" s="34" t="s">
        <v>244</v>
      </c>
      <c r="C26" s="36" t="s">
        <v>63</v>
      </c>
      <c r="D26" s="40" t="s">
        <v>232</v>
      </c>
      <c r="E26" s="43" t="s">
        <v>237</v>
      </c>
      <c r="F26" s="40" t="s">
        <v>245</v>
      </c>
      <c r="G26" s="80" t="s">
        <v>71</v>
      </c>
      <c r="H26" s="75">
        <v>3.0</v>
      </c>
      <c r="I26" s="76" t="s">
        <v>73</v>
      </c>
      <c r="J26" s="63" t="s">
        <v>76</v>
      </c>
      <c r="K26" s="77"/>
      <c r="L26" s="78" t="s">
        <v>46</v>
      </c>
      <c r="M26" s="77"/>
      <c r="N26" s="1"/>
      <c r="O26" s="1"/>
      <c r="P26" s="1"/>
      <c r="Q26" s="1"/>
      <c r="R26" s="1"/>
      <c r="S26" s="1"/>
      <c r="T26" s="1"/>
      <c r="U26" s="1"/>
      <c r="V26" s="1"/>
      <c r="W26" s="1"/>
      <c r="X26" s="1"/>
      <c r="Y26" s="1"/>
      <c r="Z26" s="1"/>
      <c r="AA26" s="1"/>
    </row>
    <row r="27">
      <c r="A27" s="33">
        <v>23.0</v>
      </c>
      <c r="B27" s="34" t="s">
        <v>246</v>
      </c>
      <c r="C27" s="36" t="s">
        <v>63</v>
      </c>
      <c r="D27" s="40" t="s">
        <v>232</v>
      </c>
      <c r="E27" s="43" t="s">
        <v>237</v>
      </c>
      <c r="F27" s="40" t="s">
        <v>247</v>
      </c>
      <c r="G27" s="80" t="s">
        <v>71</v>
      </c>
      <c r="H27" s="75">
        <v>3.0</v>
      </c>
      <c r="I27" s="76" t="s">
        <v>73</v>
      </c>
      <c r="J27" s="63" t="s">
        <v>76</v>
      </c>
      <c r="K27" s="77"/>
      <c r="L27" s="78" t="s">
        <v>46</v>
      </c>
      <c r="M27" s="77"/>
      <c r="N27" s="1"/>
      <c r="O27" s="1"/>
      <c r="P27" s="1"/>
      <c r="Q27" s="1"/>
      <c r="R27" s="1"/>
      <c r="S27" s="1"/>
      <c r="T27" s="1"/>
      <c r="U27" s="1"/>
      <c r="V27" s="1"/>
      <c r="W27" s="1"/>
      <c r="X27" s="1"/>
      <c r="Y27" s="1"/>
      <c r="Z27" s="1"/>
      <c r="AA27" s="1"/>
    </row>
    <row r="28">
      <c r="A28" s="49">
        <v>26.0</v>
      </c>
      <c r="B28" s="34" t="s">
        <v>248</v>
      </c>
      <c r="C28" s="64" t="s">
        <v>185</v>
      </c>
      <c r="D28" s="40" t="s">
        <v>249</v>
      </c>
      <c r="E28" s="43" t="s">
        <v>250</v>
      </c>
      <c r="F28" s="40" t="s">
        <v>251</v>
      </c>
      <c r="G28" s="74" t="s">
        <v>43</v>
      </c>
      <c r="H28" s="75">
        <v>5.0</v>
      </c>
      <c r="I28" s="81" t="s">
        <v>228</v>
      </c>
      <c r="J28" s="77"/>
      <c r="K28" s="77"/>
      <c r="L28" s="78" t="s">
        <v>46</v>
      </c>
      <c r="M28" s="77"/>
      <c r="N28" s="1"/>
      <c r="O28" s="1"/>
      <c r="P28" s="1"/>
      <c r="Q28" s="1"/>
      <c r="R28" s="1"/>
      <c r="S28" s="1"/>
      <c r="T28" s="1"/>
      <c r="U28" s="1"/>
      <c r="V28" s="1"/>
      <c r="W28" s="1"/>
      <c r="X28" s="1"/>
      <c r="Y28" s="1"/>
      <c r="Z28" s="1"/>
      <c r="AA28" s="1"/>
    </row>
    <row r="29">
      <c r="A29" s="33">
        <v>27.0</v>
      </c>
      <c r="B29" s="34" t="s">
        <v>252</v>
      </c>
      <c r="C29" s="36" t="s">
        <v>63</v>
      </c>
      <c r="D29" s="40" t="s">
        <v>249</v>
      </c>
      <c r="E29" s="43" t="s">
        <v>250</v>
      </c>
      <c r="F29" s="40" t="s">
        <v>253</v>
      </c>
      <c r="G29" s="74" t="s">
        <v>43</v>
      </c>
      <c r="H29" s="75">
        <v>5.0</v>
      </c>
      <c r="I29" s="81" t="s">
        <v>228</v>
      </c>
      <c r="J29" s="77"/>
      <c r="K29" s="77"/>
      <c r="L29" s="78" t="s">
        <v>46</v>
      </c>
      <c r="M29" s="77"/>
      <c r="N29" s="1"/>
      <c r="O29" s="1"/>
      <c r="P29" s="1"/>
      <c r="Q29" s="1"/>
      <c r="R29" s="1"/>
      <c r="S29" s="1"/>
      <c r="T29" s="1"/>
      <c r="U29" s="1"/>
      <c r="V29" s="1"/>
      <c r="W29" s="1"/>
      <c r="X29" s="1"/>
      <c r="Y29" s="1"/>
      <c r="Z29" s="1"/>
      <c r="AA29" s="1"/>
    </row>
    <row r="30">
      <c r="A30" s="49">
        <v>28.0</v>
      </c>
      <c r="B30" s="34" t="s">
        <v>254</v>
      </c>
      <c r="C30" s="36" t="s">
        <v>63</v>
      </c>
      <c r="D30" s="40" t="s">
        <v>249</v>
      </c>
      <c r="E30" s="43" t="s">
        <v>255</v>
      </c>
      <c r="F30" s="40" t="s">
        <v>256</v>
      </c>
      <c r="G30" s="74" t="s">
        <v>43</v>
      </c>
      <c r="H30" s="75">
        <v>5.0</v>
      </c>
      <c r="I30" s="81" t="s">
        <v>228</v>
      </c>
      <c r="J30" s="77"/>
      <c r="K30" s="77"/>
      <c r="L30" s="82" t="s">
        <v>31</v>
      </c>
      <c r="M30" s="77"/>
      <c r="N30" s="1"/>
      <c r="O30" s="1"/>
      <c r="P30" s="1"/>
      <c r="Q30" s="1"/>
      <c r="R30" s="1"/>
      <c r="S30" s="1"/>
      <c r="T30" s="1"/>
      <c r="U30" s="1"/>
      <c r="V30" s="1"/>
      <c r="W30" s="1"/>
      <c r="X30" s="1"/>
      <c r="Y30" s="1"/>
      <c r="Z30" s="1"/>
      <c r="AA30" s="1"/>
    </row>
    <row r="31">
      <c r="A31" s="33">
        <v>29.0</v>
      </c>
      <c r="B31" s="34" t="s">
        <v>257</v>
      </c>
      <c r="C31" s="36" t="s">
        <v>63</v>
      </c>
      <c r="D31" s="40" t="s">
        <v>249</v>
      </c>
      <c r="E31" s="43" t="s">
        <v>255</v>
      </c>
      <c r="F31" s="40" t="s">
        <v>258</v>
      </c>
      <c r="G31" s="74" t="s">
        <v>43</v>
      </c>
      <c r="H31" s="75">
        <v>5.0</v>
      </c>
      <c r="I31" s="81" t="s">
        <v>228</v>
      </c>
      <c r="J31" s="77"/>
      <c r="K31" s="77"/>
      <c r="L31" s="82" t="s">
        <v>31</v>
      </c>
      <c r="M31" s="77"/>
      <c r="N31" s="1"/>
      <c r="O31" s="1"/>
      <c r="P31" s="1"/>
      <c r="Q31" s="1"/>
      <c r="R31" s="1"/>
      <c r="S31" s="1"/>
      <c r="T31" s="1"/>
      <c r="U31" s="1"/>
      <c r="V31" s="1"/>
      <c r="W31" s="1"/>
      <c r="X31" s="1"/>
      <c r="Y31" s="1"/>
      <c r="Z31" s="1"/>
      <c r="AA31" s="1"/>
    </row>
    <row r="32">
      <c r="A32" s="49">
        <v>30.0</v>
      </c>
      <c r="B32" s="34" t="s">
        <v>259</v>
      </c>
      <c r="C32" s="36" t="s">
        <v>63</v>
      </c>
      <c r="D32" s="40" t="s">
        <v>249</v>
      </c>
      <c r="E32" s="43" t="s">
        <v>255</v>
      </c>
      <c r="F32" s="40" t="s">
        <v>260</v>
      </c>
      <c r="G32" s="80" t="s">
        <v>71</v>
      </c>
      <c r="H32" s="75">
        <v>3.0</v>
      </c>
      <c r="I32" s="81" t="s">
        <v>228</v>
      </c>
      <c r="J32" s="77"/>
      <c r="K32" s="77"/>
      <c r="L32" s="83" t="s">
        <v>32</v>
      </c>
      <c r="M32" s="77"/>
      <c r="N32" s="1"/>
      <c r="O32" s="1"/>
      <c r="P32" s="1"/>
      <c r="Q32" s="1"/>
      <c r="R32" s="1"/>
      <c r="S32" s="1"/>
      <c r="T32" s="1"/>
      <c r="U32" s="1"/>
      <c r="V32" s="1"/>
      <c r="W32" s="1"/>
      <c r="X32" s="1"/>
      <c r="Y32" s="1"/>
      <c r="Z32" s="1"/>
      <c r="AA32" s="1"/>
    </row>
    <row r="33">
      <c r="A33" s="33">
        <v>31.0</v>
      </c>
      <c r="B33" s="34" t="s">
        <v>261</v>
      </c>
      <c r="C33" s="36" t="s">
        <v>63</v>
      </c>
      <c r="D33" s="40" t="s">
        <v>249</v>
      </c>
      <c r="E33" s="43" t="s">
        <v>255</v>
      </c>
      <c r="F33" s="40" t="s">
        <v>262</v>
      </c>
      <c r="G33" s="80" t="s">
        <v>71</v>
      </c>
      <c r="H33" s="75">
        <v>3.0</v>
      </c>
      <c r="I33" s="81" t="s">
        <v>228</v>
      </c>
      <c r="J33" s="77"/>
      <c r="K33" s="77"/>
      <c r="L33" s="83" t="s">
        <v>32</v>
      </c>
      <c r="M33" s="77"/>
      <c r="N33" s="1"/>
      <c r="O33" s="1"/>
      <c r="P33" s="1"/>
      <c r="Q33" s="1"/>
      <c r="R33" s="1"/>
      <c r="S33" s="1"/>
      <c r="T33" s="1"/>
      <c r="U33" s="1"/>
      <c r="V33" s="1"/>
      <c r="W33" s="1"/>
      <c r="X33" s="1"/>
      <c r="Y33" s="1"/>
      <c r="Z33" s="1"/>
      <c r="AA33" s="1"/>
    </row>
    <row r="34">
      <c r="A34" s="49">
        <v>32.0</v>
      </c>
      <c r="B34" s="34" t="s">
        <v>263</v>
      </c>
      <c r="C34" s="36" t="s">
        <v>63</v>
      </c>
      <c r="D34" s="40" t="s">
        <v>249</v>
      </c>
      <c r="E34" s="43" t="s">
        <v>264</v>
      </c>
      <c r="F34" s="40" t="s">
        <v>265</v>
      </c>
      <c r="G34" s="80" t="s">
        <v>71</v>
      </c>
      <c r="H34" s="75">
        <v>3.0</v>
      </c>
      <c r="I34" s="81" t="s">
        <v>228</v>
      </c>
      <c r="J34" s="77"/>
      <c r="K34" s="77"/>
      <c r="L34" s="78" t="s">
        <v>46</v>
      </c>
      <c r="M34" s="77"/>
      <c r="N34" s="1"/>
      <c r="O34" s="1"/>
      <c r="P34" s="1"/>
      <c r="Q34" s="1"/>
      <c r="R34" s="1"/>
      <c r="S34" s="1"/>
      <c r="T34" s="1"/>
      <c r="U34" s="1"/>
      <c r="V34" s="1"/>
      <c r="W34" s="1"/>
      <c r="X34" s="1"/>
      <c r="Y34" s="1"/>
      <c r="Z34" s="1"/>
      <c r="AA34" s="1"/>
    </row>
    <row r="35">
      <c r="A35" s="33">
        <v>33.0</v>
      </c>
      <c r="B35" s="34" t="s">
        <v>266</v>
      </c>
      <c r="C35" s="36" t="s">
        <v>63</v>
      </c>
      <c r="D35" s="40" t="s">
        <v>249</v>
      </c>
      <c r="E35" s="43" t="s">
        <v>267</v>
      </c>
      <c r="F35" s="40" t="s">
        <v>268</v>
      </c>
      <c r="G35" s="74" t="s">
        <v>43</v>
      </c>
      <c r="H35" s="75">
        <v>5.0</v>
      </c>
      <c r="I35" s="81" t="s">
        <v>228</v>
      </c>
      <c r="J35" s="77"/>
      <c r="K35" s="77"/>
      <c r="L35" s="83" t="s">
        <v>269</v>
      </c>
      <c r="M35" s="77" t="s">
        <v>270</v>
      </c>
      <c r="N35" s="1"/>
      <c r="O35" s="1"/>
      <c r="P35" s="1"/>
      <c r="Q35" s="1"/>
      <c r="R35" s="1"/>
      <c r="S35" s="1"/>
      <c r="T35" s="1"/>
      <c r="U35" s="1"/>
      <c r="V35" s="1"/>
      <c r="W35" s="1"/>
      <c r="X35" s="1"/>
      <c r="Y35" s="1"/>
      <c r="Z35" s="1"/>
      <c r="AA35" s="1"/>
    </row>
    <row r="36">
      <c r="A36" s="49">
        <v>34.0</v>
      </c>
      <c r="B36" s="34" t="s">
        <v>272</v>
      </c>
      <c r="C36" s="36" t="s">
        <v>63</v>
      </c>
      <c r="D36" s="40" t="s">
        <v>249</v>
      </c>
      <c r="E36" s="43" t="s">
        <v>267</v>
      </c>
      <c r="F36" s="40" t="s">
        <v>274</v>
      </c>
      <c r="G36" s="80" t="s">
        <v>71</v>
      </c>
      <c r="H36" s="75">
        <v>3.0</v>
      </c>
      <c r="I36" s="81" t="s">
        <v>228</v>
      </c>
      <c r="J36" s="77"/>
      <c r="K36" s="77"/>
      <c r="L36" s="83" t="s">
        <v>269</v>
      </c>
      <c r="M36" s="77" t="s">
        <v>270</v>
      </c>
      <c r="N36" s="1"/>
      <c r="O36" s="1"/>
      <c r="P36" s="1"/>
      <c r="Q36" s="1"/>
      <c r="R36" s="1"/>
      <c r="S36" s="1"/>
      <c r="T36" s="1"/>
      <c r="U36" s="1"/>
      <c r="V36" s="1"/>
      <c r="W36" s="1"/>
      <c r="X36" s="1"/>
      <c r="Y36" s="1"/>
      <c r="Z36" s="1"/>
      <c r="AA36" s="1"/>
    </row>
    <row r="37">
      <c r="A37" s="33">
        <v>35.0</v>
      </c>
      <c r="B37" s="34" t="s">
        <v>276</v>
      </c>
      <c r="C37" s="36" t="s">
        <v>63</v>
      </c>
      <c r="D37" s="40" t="s">
        <v>249</v>
      </c>
      <c r="E37" s="43" t="s">
        <v>279</v>
      </c>
      <c r="F37" s="40" t="s">
        <v>280</v>
      </c>
      <c r="G37" s="80" t="s">
        <v>71</v>
      </c>
      <c r="H37" s="75">
        <v>3.0</v>
      </c>
      <c r="I37" s="81" t="s">
        <v>228</v>
      </c>
      <c r="J37" s="77"/>
      <c r="K37" s="77"/>
      <c r="L37" s="78" t="s">
        <v>46</v>
      </c>
      <c r="M37" s="77" t="s">
        <v>284</v>
      </c>
      <c r="N37" s="1"/>
      <c r="O37" s="1"/>
      <c r="P37" s="1"/>
      <c r="Q37" s="1"/>
      <c r="R37" s="1"/>
      <c r="S37" s="1"/>
      <c r="T37" s="1"/>
      <c r="U37" s="1"/>
      <c r="V37" s="1"/>
      <c r="W37" s="1"/>
      <c r="X37" s="1"/>
      <c r="Y37" s="1"/>
      <c r="Z37" s="1"/>
      <c r="AA37" s="1"/>
    </row>
    <row r="38">
      <c r="A38" s="49">
        <v>36.0</v>
      </c>
      <c r="B38" s="34" t="s">
        <v>285</v>
      </c>
      <c r="C38" s="36" t="s">
        <v>63</v>
      </c>
      <c r="D38" s="40" t="s">
        <v>249</v>
      </c>
      <c r="E38" s="43" t="s">
        <v>279</v>
      </c>
      <c r="F38" s="40" t="s">
        <v>287</v>
      </c>
      <c r="G38" s="74" t="s">
        <v>43</v>
      </c>
      <c r="H38" s="75">
        <v>5.0</v>
      </c>
      <c r="I38" s="81" t="s">
        <v>228</v>
      </c>
      <c r="J38" s="77"/>
      <c r="K38" s="77"/>
      <c r="L38" s="78" t="s">
        <v>46</v>
      </c>
      <c r="M38" s="77" t="s">
        <v>289</v>
      </c>
      <c r="N38" s="1"/>
      <c r="O38" s="1"/>
      <c r="P38" s="1"/>
      <c r="Q38" s="1"/>
      <c r="R38" s="1"/>
      <c r="S38" s="1"/>
      <c r="T38" s="1"/>
      <c r="U38" s="1"/>
      <c r="V38" s="1"/>
      <c r="W38" s="1"/>
      <c r="X38" s="1"/>
      <c r="Y38" s="1"/>
      <c r="Z38" s="1"/>
      <c r="AA38" s="1"/>
    </row>
    <row r="39">
      <c r="A39" s="33">
        <v>37.0</v>
      </c>
      <c r="B39" s="34" t="s">
        <v>291</v>
      </c>
      <c r="C39" s="36" t="s">
        <v>63</v>
      </c>
      <c r="D39" s="40" t="s">
        <v>249</v>
      </c>
      <c r="E39" s="43" t="s">
        <v>279</v>
      </c>
      <c r="F39" s="40" t="s">
        <v>292</v>
      </c>
      <c r="G39" s="74" t="s">
        <v>43</v>
      </c>
      <c r="H39" s="75">
        <v>5.0</v>
      </c>
      <c r="I39" s="81" t="s">
        <v>228</v>
      </c>
      <c r="J39" s="77"/>
      <c r="K39" s="77"/>
      <c r="L39" s="83" t="s">
        <v>32</v>
      </c>
      <c r="M39" s="77"/>
      <c r="N39" s="1"/>
      <c r="O39" s="1"/>
      <c r="P39" s="1"/>
      <c r="Q39" s="1"/>
      <c r="R39" s="1"/>
      <c r="S39" s="1"/>
      <c r="T39" s="1"/>
      <c r="U39" s="1"/>
      <c r="V39" s="1"/>
      <c r="W39" s="1"/>
      <c r="X39" s="1"/>
      <c r="Y39" s="1"/>
      <c r="Z39" s="1"/>
      <c r="AA39" s="1"/>
    </row>
    <row r="40">
      <c r="A40" s="49">
        <v>38.0</v>
      </c>
      <c r="B40" s="34" t="s">
        <v>297</v>
      </c>
      <c r="C40" s="36" t="s">
        <v>63</v>
      </c>
      <c r="D40" s="40" t="s">
        <v>249</v>
      </c>
      <c r="E40" s="43" t="s">
        <v>279</v>
      </c>
      <c r="F40" s="40" t="s">
        <v>299</v>
      </c>
      <c r="G40" s="80" t="s">
        <v>71</v>
      </c>
      <c r="H40" s="75">
        <v>3.0</v>
      </c>
      <c r="I40" s="81" t="s">
        <v>228</v>
      </c>
      <c r="J40" s="77"/>
      <c r="K40" s="77"/>
      <c r="L40" s="78" t="s">
        <v>46</v>
      </c>
      <c r="M40" s="77"/>
      <c r="N40" s="1"/>
      <c r="O40" s="1"/>
      <c r="P40" s="1"/>
      <c r="Q40" s="1"/>
      <c r="R40" s="1"/>
      <c r="S40" s="1"/>
      <c r="T40" s="1"/>
      <c r="U40" s="1"/>
      <c r="V40" s="1"/>
      <c r="W40" s="1"/>
      <c r="X40" s="1"/>
      <c r="Y40" s="1"/>
      <c r="Z40" s="1"/>
      <c r="AA40" s="1"/>
    </row>
    <row r="41">
      <c r="A41" s="33">
        <v>39.0</v>
      </c>
      <c r="B41" s="34" t="s">
        <v>303</v>
      </c>
      <c r="C41" s="36" t="s">
        <v>63</v>
      </c>
      <c r="D41" s="40" t="s">
        <v>249</v>
      </c>
      <c r="E41" s="43" t="s">
        <v>279</v>
      </c>
      <c r="F41" s="40" t="s">
        <v>305</v>
      </c>
      <c r="G41" s="80" t="s">
        <v>71</v>
      </c>
      <c r="H41" s="75">
        <v>3.0</v>
      </c>
      <c r="I41" s="81" t="s">
        <v>228</v>
      </c>
      <c r="J41" s="77"/>
      <c r="K41" s="77"/>
      <c r="L41" s="78" t="s">
        <v>46</v>
      </c>
      <c r="M41" s="77"/>
      <c r="N41" s="1"/>
      <c r="O41" s="1"/>
      <c r="P41" s="1"/>
      <c r="Q41" s="1"/>
      <c r="R41" s="1"/>
      <c r="S41" s="1"/>
      <c r="T41" s="1"/>
      <c r="U41" s="1"/>
      <c r="V41" s="1"/>
      <c r="W41" s="1"/>
      <c r="X41" s="1"/>
      <c r="Y41" s="1"/>
      <c r="Z41" s="1"/>
      <c r="AA41" s="1"/>
    </row>
    <row r="42">
      <c r="A42" s="49">
        <v>40.0</v>
      </c>
      <c r="B42" s="34" t="s">
        <v>307</v>
      </c>
      <c r="C42" s="36" t="s">
        <v>63</v>
      </c>
      <c r="D42" s="40" t="s">
        <v>249</v>
      </c>
      <c r="E42" s="43" t="s">
        <v>267</v>
      </c>
      <c r="F42" s="40" t="s">
        <v>308</v>
      </c>
      <c r="G42" s="74" t="s">
        <v>43</v>
      </c>
      <c r="H42" s="75">
        <v>5.0</v>
      </c>
      <c r="I42" s="81" t="s">
        <v>228</v>
      </c>
      <c r="J42" s="77"/>
      <c r="K42" s="77"/>
      <c r="L42" s="83" t="s">
        <v>32</v>
      </c>
      <c r="M42" s="77"/>
      <c r="N42" s="1"/>
      <c r="O42" s="1"/>
      <c r="P42" s="1"/>
      <c r="Q42" s="1"/>
      <c r="R42" s="1"/>
      <c r="S42" s="1"/>
      <c r="T42" s="1"/>
      <c r="U42" s="1"/>
      <c r="V42" s="1"/>
      <c r="W42" s="1"/>
      <c r="X42" s="1"/>
      <c r="Y42" s="1"/>
      <c r="Z42" s="1"/>
      <c r="AA42" s="1"/>
    </row>
    <row r="43">
      <c r="A43" s="33">
        <v>41.0</v>
      </c>
      <c r="B43" s="34" t="s">
        <v>310</v>
      </c>
      <c r="C43" s="36" t="s">
        <v>63</v>
      </c>
      <c r="D43" s="40" t="s">
        <v>249</v>
      </c>
      <c r="E43" s="43" t="s">
        <v>311</v>
      </c>
      <c r="F43" s="40" t="s">
        <v>312</v>
      </c>
      <c r="G43" s="74" t="s">
        <v>43</v>
      </c>
      <c r="H43" s="75">
        <v>5.0</v>
      </c>
      <c r="I43" s="81" t="s">
        <v>228</v>
      </c>
      <c r="J43" s="77"/>
      <c r="K43" s="77"/>
      <c r="L43" s="78" t="s">
        <v>46</v>
      </c>
      <c r="M43" s="77"/>
      <c r="N43" s="1"/>
      <c r="O43" s="1"/>
      <c r="P43" s="1"/>
      <c r="Q43" s="1"/>
      <c r="R43" s="1"/>
      <c r="S43" s="1"/>
      <c r="T43" s="1"/>
      <c r="U43" s="1"/>
      <c r="V43" s="1"/>
      <c r="W43" s="1"/>
      <c r="X43" s="1"/>
      <c r="Y43" s="1"/>
      <c r="Z43" s="1"/>
      <c r="AA43" s="1"/>
    </row>
    <row r="44">
      <c r="A44" s="49">
        <v>42.0</v>
      </c>
      <c r="B44" s="34" t="s">
        <v>314</v>
      </c>
      <c r="C44" s="36" t="s">
        <v>63</v>
      </c>
      <c r="D44" s="40" t="s">
        <v>249</v>
      </c>
      <c r="E44" s="43" t="s">
        <v>311</v>
      </c>
      <c r="F44" s="40" t="s">
        <v>316</v>
      </c>
      <c r="G44" s="74" t="s">
        <v>43</v>
      </c>
      <c r="H44" s="75">
        <v>5.0</v>
      </c>
      <c r="I44" s="81" t="s">
        <v>228</v>
      </c>
      <c r="J44" s="77"/>
      <c r="K44" s="77"/>
      <c r="L44" s="78" t="s">
        <v>46</v>
      </c>
      <c r="M44" s="77"/>
      <c r="N44" s="1"/>
      <c r="O44" s="1"/>
      <c r="P44" s="1"/>
      <c r="Q44" s="1"/>
      <c r="R44" s="1"/>
      <c r="S44" s="1"/>
      <c r="T44" s="1"/>
      <c r="U44" s="1"/>
      <c r="V44" s="1"/>
      <c r="W44" s="1"/>
      <c r="X44" s="1"/>
      <c r="Y44" s="1"/>
      <c r="Z44" s="1"/>
      <c r="AA44" s="1"/>
    </row>
    <row r="45">
      <c r="A45" s="33">
        <v>43.0</v>
      </c>
      <c r="B45" s="34" t="s">
        <v>318</v>
      </c>
      <c r="C45" s="36" t="s">
        <v>63</v>
      </c>
      <c r="D45" s="40" t="s">
        <v>249</v>
      </c>
      <c r="E45" s="43" t="s">
        <v>311</v>
      </c>
      <c r="F45" s="40" t="s">
        <v>319</v>
      </c>
      <c r="G45" s="80" t="s">
        <v>71</v>
      </c>
      <c r="H45" s="75">
        <v>3.0</v>
      </c>
      <c r="I45" s="81" t="s">
        <v>228</v>
      </c>
      <c r="J45" s="77"/>
      <c r="K45" s="77"/>
      <c r="L45" s="78" t="s">
        <v>46</v>
      </c>
      <c r="M45" s="77"/>
      <c r="N45" s="1"/>
      <c r="O45" s="1"/>
      <c r="P45" s="1"/>
      <c r="Q45" s="1"/>
      <c r="R45" s="1"/>
      <c r="S45" s="1"/>
      <c r="T45" s="1"/>
      <c r="U45" s="1"/>
      <c r="V45" s="1"/>
      <c r="W45" s="1"/>
      <c r="X45" s="1"/>
      <c r="Y45" s="1"/>
      <c r="Z45" s="1"/>
      <c r="AA45" s="1"/>
    </row>
    <row r="46">
      <c r="A46" s="49">
        <v>44.0</v>
      </c>
      <c r="B46" s="34" t="s">
        <v>321</v>
      </c>
      <c r="C46" s="36" t="s">
        <v>63</v>
      </c>
      <c r="D46" s="40" t="s">
        <v>249</v>
      </c>
      <c r="E46" s="43" t="s">
        <v>311</v>
      </c>
      <c r="F46" s="40" t="s">
        <v>322</v>
      </c>
      <c r="G46" s="80" t="s">
        <v>71</v>
      </c>
      <c r="H46" s="75">
        <v>3.0</v>
      </c>
      <c r="I46" s="81" t="s">
        <v>228</v>
      </c>
      <c r="J46" s="77"/>
      <c r="K46" s="77"/>
      <c r="L46" s="82" t="s">
        <v>31</v>
      </c>
      <c r="M46" s="77"/>
      <c r="N46" s="1"/>
      <c r="O46" s="1"/>
      <c r="P46" s="1"/>
      <c r="Q46" s="1"/>
      <c r="R46" s="1"/>
      <c r="S46" s="1"/>
      <c r="T46" s="1"/>
      <c r="U46" s="1"/>
      <c r="V46" s="1"/>
      <c r="W46" s="1"/>
      <c r="X46" s="1"/>
      <c r="Y46" s="1"/>
      <c r="Z46" s="1"/>
      <c r="AA46" s="1"/>
    </row>
    <row r="47">
      <c r="A47" s="33">
        <v>45.0</v>
      </c>
      <c r="B47" s="34" t="s">
        <v>324</v>
      </c>
      <c r="C47" s="36" t="s">
        <v>63</v>
      </c>
      <c r="D47" s="40" t="s">
        <v>325</v>
      </c>
      <c r="E47" s="43" t="s">
        <v>326</v>
      </c>
      <c r="F47" s="40" t="s">
        <v>328</v>
      </c>
      <c r="G47" s="89" t="s">
        <v>192</v>
      </c>
      <c r="H47" s="75">
        <v>8.0</v>
      </c>
      <c r="I47" s="81" t="s">
        <v>228</v>
      </c>
      <c r="J47" s="77"/>
      <c r="K47" s="77"/>
      <c r="L47" s="83" t="s">
        <v>32</v>
      </c>
      <c r="M47" s="77"/>
      <c r="N47" s="1"/>
      <c r="O47" s="1"/>
      <c r="P47" s="1"/>
      <c r="Q47" s="1"/>
      <c r="R47" s="1"/>
      <c r="S47" s="1"/>
      <c r="T47" s="1"/>
      <c r="U47" s="1"/>
      <c r="V47" s="1"/>
      <c r="W47" s="1"/>
      <c r="X47" s="1"/>
      <c r="Y47" s="1"/>
      <c r="Z47" s="1"/>
      <c r="AA47" s="1"/>
    </row>
    <row r="48">
      <c r="A48" s="49">
        <v>46.0</v>
      </c>
      <c r="B48" s="34" t="s">
        <v>330</v>
      </c>
      <c r="C48" s="36" t="s">
        <v>63</v>
      </c>
      <c r="D48" s="40" t="s">
        <v>325</v>
      </c>
      <c r="E48" s="43" t="s">
        <v>326</v>
      </c>
      <c r="F48" s="40" t="s">
        <v>331</v>
      </c>
      <c r="G48" s="89" t="s">
        <v>192</v>
      </c>
      <c r="H48" s="75">
        <v>8.0</v>
      </c>
      <c r="I48" s="81" t="s">
        <v>228</v>
      </c>
      <c r="J48" s="77"/>
      <c r="K48" s="77"/>
      <c r="L48" s="83" t="s">
        <v>32</v>
      </c>
      <c r="M48" s="77"/>
      <c r="N48" s="1"/>
      <c r="O48" s="1"/>
      <c r="P48" s="1"/>
      <c r="Q48" s="1"/>
      <c r="R48" s="1"/>
      <c r="S48" s="1"/>
      <c r="T48" s="1"/>
      <c r="U48" s="1"/>
      <c r="V48" s="1"/>
      <c r="W48" s="1"/>
      <c r="X48" s="1"/>
      <c r="Y48" s="1"/>
      <c r="Z48" s="1"/>
      <c r="AA48" s="1"/>
    </row>
    <row r="49">
      <c r="A49" s="33">
        <v>47.0</v>
      </c>
      <c r="B49" s="34" t="s">
        <v>874</v>
      </c>
      <c r="C49" s="36" t="s">
        <v>63</v>
      </c>
      <c r="D49" s="40" t="s">
        <v>325</v>
      </c>
      <c r="E49" s="43" t="s">
        <v>333</v>
      </c>
      <c r="F49" s="40" t="s">
        <v>334</v>
      </c>
      <c r="G49" s="74" t="s">
        <v>43</v>
      </c>
      <c r="H49" s="75">
        <v>5.0</v>
      </c>
      <c r="I49" s="81" t="s">
        <v>228</v>
      </c>
      <c r="J49" s="77"/>
      <c r="K49" s="77"/>
      <c r="L49" s="83" t="s">
        <v>32</v>
      </c>
      <c r="M49" s="77"/>
      <c r="N49" s="1"/>
      <c r="O49" s="1"/>
      <c r="P49" s="1"/>
      <c r="Q49" s="1"/>
      <c r="R49" s="1"/>
      <c r="S49" s="1"/>
      <c r="T49" s="1"/>
      <c r="U49" s="1"/>
      <c r="V49" s="1"/>
      <c r="W49" s="1"/>
      <c r="X49" s="1"/>
      <c r="Y49" s="1"/>
      <c r="Z49" s="1"/>
      <c r="AA49" s="1"/>
    </row>
    <row r="50">
      <c r="A50" s="49">
        <v>48.0</v>
      </c>
      <c r="B50" s="34" t="s">
        <v>336</v>
      </c>
      <c r="C50" s="36" t="s">
        <v>63</v>
      </c>
      <c r="D50" s="40" t="s">
        <v>325</v>
      </c>
      <c r="E50" s="43" t="s">
        <v>333</v>
      </c>
      <c r="F50" s="40" t="s">
        <v>339</v>
      </c>
      <c r="G50" s="74" t="s">
        <v>43</v>
      </c>
      <c r="H50" s="75">
        <v>5.0</v>
      </c>
      <c r="I50" s="81" t="s">
        <v>228</v>
      </c>
      <c r="J50" s="77"/>
      <c r="K50" s="77"/>
      <c r="L50" s="83" t="s">
        <v>32</v>
      </c>
      <c r="M50" s="77"/>
      <c r="N50" s="1"/>
      <c r="O50" s="1"/>
      <c r="P50" s="1"/>
      <c r="Q50" s="1"/>
      <c r="R50" s="1"/>
      <c r="S50" s="1"/>
      <c r="T50" s="1"/>
      <c r="U50" s="1"/>
      <c r="V50" s="1"/>
      <c r="W50" s="1"/>
      <c r="X50" s="1"/>
      <c r="Y50" s="1"/>
      <c r="Z50" s="1"/>
      <c r="AA50" s="1"/>
    </row>
    <row r="51">
      <c r="A51" s="33">
        <v>49.0</v>
      </c>
      <c r="B51" s="34" t="s">
        <v>342</v>
      </c>
      <c r="C51" s="36" t="s">
        <v>63</v>
      </c>
      <c r="D51" s="40" t="s">
        <v>325</v>
      </c>
      <c r="E51" s="43" t="s">
        <v>333</v>
      </c>
      <c r="F51" s="40" t="s">
        <v>343</v>
      </c>
      <c r="G51" s="74" t="s">
        <v>43</v>
      </c>
      <c r="H51" s="75">
        <v>5.0</v>
      </c>
      <c r="I51" s="81" t="s">
        <v>228</v>
      </c>
      <c r="J51" s="77"/>
      <c r="K51" s="77"/>
      <c r="L51" s="83" t="s">
        <v>32</v>
      </c>
      <c r="M51" s="77"/>
      <c r="N51" s="1"/>
      <c r="O51" s="1"/>
      <c r="P51" s="1"/>
      <c r="Q51" s="1"/>
      <c r="R51" s="1"/>
      <c r="S51" s="1"/>
      <c r="T51" s="1"/>
      <c r="U51" s="1"/>
      <c r="V51" s="1"/>
      <c r="W51" s="1"/>
      <c r="X51" s="1"/>
      <c r="Y51" s="1"/>
      <c r="Z51" s="1"/>
      <c r="AA51" s="1"/>
    </row>
    <row r="52">
      <c r="A52" s="49">
        <v>50.0</v>
      </c>
      <c r="B52" s="34" t="s">
        <v>352</v>
      </c>
      <c r="C52" s="36" t="s">
        <v>63</v>
      </c>
      <c r="D52" s="40" t="s">
        <v>325</v>
      </c>
      <c r="E52" s="43" t="s">
        <v>333</v>
      </c>
      <c r="F52" s="40" t="s">
        <v>356</v>
      </c>
      <c r="G52" s="74" t="s">
        <v>43</v>
      </c>
      <c r="H52" s="75">
        <v>5.0</v>
      </c>
      <c r="I52" s="81" t="s">
        <v>228</v>
      </c>
      <c r="J52" s="77"/>
      <c r="K52" s="77"/>
      <c r="L52" s="83" t="s">
        <v>32</v>
      </c>
      <c r="M52" s="77"/>
      <c r="N52" s="1"/>
      <c r="O52" s="1"/>
      <c r="P52" s="1"/>
      <c r="Q52" s="1"/>
      <c r="R52" s="1"/>
      <c r="S52" s="1"/>
      <c r="T52" s="1"/>
      <c r="U52" s="1"/>
      <c r="V52" s="1"/>
      <c r="W52" s="1"/>
      <c r="X52" s="1"/>
      <c r="Y52" s="1"/>
      <c r="Z52" s="1"/>
      <c r="AA52" s="1"/>
    </row>
    <row r="53">
      <c r="A53" s="33">
        <v>51.0</v>
      </c>
      <c r="B53" s="34" t="s">
        <v>361</v>
      </c>
      <c r="C53" s="36" t="s">
        <v>63</v>
      </c>
      <c r="D53" s="40" t="s">
        <v>408</v>
      </c>
      <c r="E53" s="43" t="s">
        <v>514</v>
      </c>
      <c r="F53" s="40" t="s">
        <v>366</v>
      </c>
      <c r="G53" s="89" t="s">
        <v>192</v>
      </c>
      <c r="H53" s="75">
        <v>8.0</v>
      </c>
      <c r="I53" s="81" t="s">
        <v>228</v>
      </c>
      <c r="J53" s="77"/>
      <c r="K53" s="77"/>
      <c r="L53" s="83" t="s">
        <v>269</v>
      </c>
      <c r="M53" s="77" t="s">
        <v>865</v>
      </c>
      <c r="N53" s="1"/>
      <c r="O53" s="1"/>
      <c r="P53" s="1"/>
      <c r="Q53" s="1"/>
      <c r="R53" s="1"/>
      <c r="S53" s="1"/>
      <c r="T53" s="1"/>
      <c r="U53" s="1"/>
      <c r="V53" s="1"/>
      <c r="W53" s="1"/>
      <c r="X53" s="1"/>
      <c r="Y53" s="1"/>
      <c r="Z53" s="1"/>
      <c r="AA53" s="1"/>
    </row>
    <row r="54">
      <c r="A54" s="49">
        <v>52.0</v>
      </c>
      <c r="B54" s="34" t="s">
        <v>371</v>
      </c>
      <c r="C54" s="36" t="s">
        <v>63</v>
      </c>
      <c r="D54" s="40" t="s">
        <v>408</v>
      </c>
      <c r="E54" s="43" t="s">
        <v>514</v>
      </c>
      <c r="F54" s="40" t="s">
        <v>372</v>
      </c>
      <c r="G54" s="89" t="s">
        <v>192</v>
      </c>
      <c r="H54" s="75">
        <v>8.0</v>
      </c>
      <c r="I54" s="81" t="s">
        <v>228</v>
      </c>
      <c r="J54" s="77"/>
      <c r="K54" s="77"/>
      <c r="L54" s="83" t="s">
        <v>32</v>
      </c>
      <c r="M54" s="77"/>
      <c r="N54" s="1"/>
      <c r="O54" s="1"/>
      <c r="P54" s="1"/>
      <c r="Q54" s="1"/>
      <c r="R54" s="1"/>
      <c r="S54" s="1"/>
      <c r="T54" s="1"/>
      <c r="U54" s="1"/>
      <c r="V54" s="1"/>
      <c r="W54" s="1"/>
      <c r="X54" s="1"/>
      <c r="Y54" s="1"/>
      <c r="Z54" s="1"/>
      <c r="AA54" s="1"/>
    </row>
    <row r="55">
      <c r="A55" s="33">
        <v>53.0</v>
      </c>
      <c r="B55" s="34" t="s">
        <v>376</v>
      </c>
      <c r="C55" s="36" t="s">
        <v>63</v>
      </c>
      <c r="D55" s="40" t="s">
        <v>408</v>
      </c>
      <c r="E55" s="43" t="s">
        <v>410</v>
      </c>
      <c r="F55" s="40" t="s">
        <v>379</v>
      </c>
      <c r="G55" s="89" t="s">
        <v>192</v>
      </c>
      <c r="H55" s="75">
        <v>8.0</v>
      </c>
      <c r="I55" s="81" t="s">
        <v>228</v>
      </c>
      <c r="J55" s="77"/>
      <c r="K55" s="77"/>
      <c r="L55" s="83" t="s">
        <v>32</v>
      </c>
      <c r="M55" s="77"/>
      <c r="N55" s="1"/>
      <c r="O55" s="1"/>
      <c r="P55" s="1"/>
      <c r="Q55" s="1"/>
      <c r="R55" s="1"/>
      <c r="S55" s="1"/>
      <c r="T55" s="1"/>
      <c r="U55" s="1"/>
      <c r="V55" s="1"/>
      <c r="W55" s="1"/>
      <c r="X55" s="1"/>
      <c r="Y55" s="1"/>
      <c r="Z55" s="1"/>
      <c r="AA55" s="1"/>
    </row>
    <row r="56">
      <c r="A56" s="49">
        <v>54.0</v>
      </c>
      <c r="B56" s="34" t="s">
        <v>386</v>
      </c>
      <c r="C56" s="36" t="s">
        <v>63</v>
      </c>
      <c r="D56" s="40" t="s">
        <v>325</v>
      </c>
      <c r="E56" s="43" t="s">
        <v>866</v>
      </c>
      <c r="F56" s="40" t="s">
        <v>387</v>
      </c>
      <c r="G56" s="89" t="s">
        <v>192</v>
      </c>
      <c r="H56" s="75">
        <v>8.0</v>
      </c>
      <c r="I56" s="81" t="s">
        <v>228</v>
      </c>
      <c r="J56" s="77"/>
      <c r="K56" s="77"/>
      <c r="L56" s="83" t="s">
        <v>32</v>
      </c>
      <c r="M56" s="77"/>
      <c r="N56" s="1"/>
      <c r="O56" s="1"/>
      <c r="P56" s="1"/>
      <c r="Q56" s="1"/>
      <c r="R56" s="1"/>
      <c r="S56" s="1"/>
      <c r="T56" s="1"/>
      <c r="U56" s="1"/>
      <c r="V56" s="1"/>
      <c r="W56" s="1"/>
      <c r="X56" s="1"/>
      <c r="Y56" s="1"/>
      <c r="Z56" s="1"/>
      <c r="AA56" s="1"/>
    </row>
    <row r="57">
      <c r="A57" s="33">
        <v>55.0</v>
      </c>
      <c r="B57" s="34" t="s">
        <v>396</v>
      </c>
      <c r="C57" s="36" t="s">
        <v>63</v>
      </c>
      <c r="D57" s="40" t="s">
        <v>325</v>
      </c>
      <c r="E57" s="43" t="s">
        <v>398</v>
      </c>
      <c r="F57" s="40" t="s">
        <v>399</v>
      </c>
      <c r="G57" s="74" t="s">
        <v>43</v>
      </c>
      <c r="H57" s="75">
        <v>5.0</v>
      </c>
      <c r="I57" s="81" t="s">
        <v>228</v>
      </c>
      <c r="J57" s="77"/>
      <c r="K57" s="77"/>
      <c r="L57" s="83" t="s">
        <v>32</v>
      </c>
      <c r="M57" s="77"/>
      <c r="N57" s="1"/>
      <c r="O57" s="1"/>
      <c r="P57" s="1"/>
      <c r="Q57" s="1"/>
      <c r="R57" s="1"/>
      <c r="S57" s="1"/>
      <c r="T57" s="1"/>
      <c r="U57" s="1"/>
      <c r="V57" s="1"/>
      <c r="W57" s="1"/>
      <c r="X57" s="1"/>
      <c r="Y57" s="1"/>
      <c r="Z57" s="1"/>
      <c r="AA57" s="1"/>
    </row>
    <row r="58">
      <c r="A58" s="49">
        <v>56.0</v>
      </c>
      <c r="B58" s="34" t="s">
        <v>407</v>
      </c>
      <c r="C58" s="36" t="s">
        <v>63</v>
      </c>
      <c r="D58" s="40" t="s">
        <v>408</v>
      </c>
      <c r="E58" s="43" t="s">
        <v>410</v>
      </c>
      <c r="F58" s="40" t="s">
        <v>411</v>
      </c>
      <c r="G58" s="89" t="s">
        <v>192</v>
      </c>
      <c r="H58" s="75">
        <v>8.0</v>
      </c>
      <c r="I58" s="81" t="s">
        <v>228</v>
      </c>
      <c r="J58" s="77"/>
      <c r="K58" s="77"/>
      <c r="L58" s="78" t="s">
        <v>46</v>
      </c>
      <c r="M58" s="77" t="s">
        <v>415</v>
      </c>
      <c r="N58" s="1"/>
      <c r="O58" s="1"/>
      <c r="P58" s="1"/>
      <c r="Q58" s="1"/>
      <c r="R58" s="1"/>
      <c r="S58" s="1"/>
      <c r="T58" s="1"/>
      <c r="U58" s="1"/>
      <c r="V58" s="1"/>
      <c r="W58" s="1"/>
      <c r="X58" s="1"/>
      <c r="Y58" s="1"/>
      <c r="Z58" s="1"/>
      <c r="AA58" s="1"/>
    </row>
    <row r="59">
      <c r="A59" s="33">
        <v>57.0</v>
      </c>
      <c r="B59" s="34" t="s">
        <v>422</v>
      </c>
      <c r="C59" s="36" t="s">
        <v>63</v>
      </c>
      <c r="D59" s="40" t="s">
        <v>408</v>
      </c>
      <c r="E59" s="43" t="s">
        <v>410</v>
      </c>
      <c r="F59" s="40" t="s">
        <v>424</v>
      </c>
      <c r="G59" s="89" t="s">
        <v>192</v>
      </c>
      <c r="H59" s="75">
        <v>8.0</v>
      </c>
      <c r="I59" s="81" t="s">
        <v>228</v>
      </c>
      <c r="J59" s="77"/>
      <c r="K59" s="77"/>
      <c r="L59" s="78" t="s">
        <v>46</v>
      </c>
      <c r="M59" s="77"/>
      <c r="N59" s="1"/>
      <c r="O59" s="1"/>
      <c r="P59" s="1"/>
      <c r="Q59" s="1"/>
      <c r="R59" s="1"/>
      <c r="S59" s="1"/>
      <c r="T59" s="1"/>
      <c r="U59" s="1"/>
      <c r="V59" s="1"/>
      <c r="W59" s="1"/>
      <c r="X59" s="1"/>
      <c r="Y59" s="1"/>
      <c r="Z59" s="1"/>
      <c r="AA59" s="1"/>
    </row>
    <row r="60">
      <c r="A60" s="49">
        <v>58.0</v>
      </c>
      <c r="B60" s="34" t="s">
        <v>430</v>
      </c>
      <c r="C60" s="36" t="s">
        <v>63</v>
      </c>
      <c r="D60" s="40" t="s">
        <v>408</v>
      </c>
      <c r="E60" s="43" t="s">
        <v>410</v>
      </c>
      <c r="F60" s="40" t="s">
        <v>434</v>
      </c>
      <c r="G60" s="89" t="s">
        <v>192</v>
      </c>
      <c r="H60" s="75">
        <v>8.0</v>
      </c>
      <c r="I60" s="81" t="s">
        <v>228</v>
      </c>
      <c r="J60" s="77"/>
      <c r="K60" s="77"/>
      <c r="L60" s="78" t="s">
        <v>46</v>
      </c>
      <c r="M60" s="77"/>
      <c r="N60" s="1"/>
      <c r="O60" s="1"/>
      <c r="P60" s="1"/>
      <c r="Q60" s="1"/>
      <c r="R60" s="1"/>
      <c r="S60" s="1"/>
      <c r="T60" s="1"/>
      <c r="U60" s="1"/>
      <c r="V60" s="1"/>
      <c r="W60" s="1"/>
      <c r="X60" s="1"/>
      <c r="Y60" s="1"/>
      <c r="Z60" s="1"/>
      <c r="AA60" s="1"/>
    </row>
    <row r="61">
      <c r="A61" s="33">
        <v>59.0</v>
      </c>
      <c r="B61" s="34" t="s">
        <v>438</v>
      </c>
      <c r="C61" s="36" t="s">
        <v>63</v>
      </c>
      <c r="D61" s="40" t="s">
        <v>408</v>
      </c>
      <c r="E61" s="43" t="s">
        <v>440</v>
      </c>
      <c r="F61" s="40" t="s">
        <v>441</v>
      </c>
      <c r="G61" s="74" t="s">
        <v>43</v>
      </c>
      <c r="H61" s="75">
        <v>5.0</v>
      </c>
      <c r="I61" s="100" t="s">
        <v>235</v>
      </c>
      <c r="J61" s="77"/>
      <c r="K61" s="77"/>
      <c r="L61" s="78" t="s">
        <v>46</v>
      </c>
      <c r="M61" s="77" t="s">
        <v>448</v>
      </c>
      <c r="N61" s="1"/>
      <c r="O61" s="1"/>
      <c r="P61" s="1"/>
      <c r="Q61" s="1"/>
      <c r="R61" s="1"/>
      <c r="S61" s="1"/>
      <c r="T61" s="1"/>
      <c r="U61" s="1"/>
      <c r="V61" s="1"/>
      <c r="W61" s="1"/>
      <c r="X61" s="1"/>
      <c r="Y61" s="1"/>
      <c r="Z61" s="1"/>
      <c r="AA61" s="1"/>
    </row>
    <row r="62">
      <c r="A62" s="49">
        <v>60.0</v>
      </c>
      <c r="B62" s="34" t="s">
        <v>453</v>
      </c>
      <c r="C62" s="36" t="s">
        <v>63</v>
      </c>
      <c r="D62" s="40" t="s">
        <v>408</v>
      </c>
      <c r="E62" s="43" t="s">
        <v>440</v>
      </c>
      <c r="F62" s="40" t="s">
        <v>455</v>
      </c>
      <c r="G62" s="74" t="s">
        <v>43</v>
      </c>
      <c r="H62" s="75">
        <v>5.0</v>
      </c>
      <c r="I62" s="100" t="s">
        <v>235</v>
      </c>
      <c r="J62" s="77"/>
      <c r="K62" s="77"/>
      <c r="L62" s="78" t="s">
        <v>46</v>
      </c>
      <c r="M62" s="77" t="s">
        <v>460</v>
      </c>
      <c r="N62" s="1"/>
      <c r="O62" s="1"/>
      <c r="P62" s="1"/>
      <c r="Q62" s="1"/>
      <c r="R62" s="1"/>
      <c r="S62" s="1"/>
      <c r="T62" s="1"/>
      <c r="U62" s="1"/>
      <c r="V62" s="1"/>
      <c r="W62" s="1"/>
      <c r="X62" s="1"/>
      <c r="Y62" s="1"/>
      <c r="Z62" s="1"/>
      <c r="AA62" s="1"/>
    </row>
    <row r="63">
      <c r="A63" s="33">
        <v>61.0</v>
      </c>
      <c r="B63" s="34" t="s">
        <v>464</v>
      </c>
      <c r="C63" s="36" t="s">
        <v>63</v>
      </c>
      <c r="D63" s="40" t="s">
        <v>408</v>
      </c>
      <c r="E63" s="43" t="s">
        <v>440</v>
      </c>
      <c r="F63" s="40" t="s">
        <v>466</v>
      </c>
      <c r="G63" s="74" t="s">
        <v>43</v>
      </c>
      <c r="H63" s="75">
        <v>5.0</v>
      </c>
      <c r="I63" s="100" t="s">
        <v>235</v>
      </c>
      <c r="J63" s="101"/>
      <c r="K63" s="77"/>
      <c r="L63" s="83" t="s">
        <v>32</v>
      </c>
      <c r="M63" s="77"/>
      <c r="N63" s="1"/>
      <c r="O63" s="1"/>
      <c r="P63" s="1"/>
      <c r="Q63" s="1"/>
      <c r="R63" s="1"/>
      <c r="S63" s="1"/>
      <c r="T63" s="1"/>
      <c r="U63" s="1"/>
      <c r="V63" s="1"/>
      <c r="W63" s="1"/>
      <c r="X63" s="1"/>
      <c r="Y63" s="1"/>
      <c r="Z63" s="1"/>
      <c r="AA63" s="1"/>
    </row>
    <row r="64">
      <c r="A64" s="49">
        <v>62.0</v>
      </c>
      <c r="B64" s="34" t="s">
        <v>473</v>
      </c>
      <c r="C64" s="36" t="s">
        <v>63</v>
      </c>
      <c r="D64" s="40" t="s">
        <v>408</v>
      </c>
      <c r="E64" s="43" t="s">
        <v>440</v>
      </c>
      <c r="F64" s="40" t="s">
        <v>476</v>
      </c>
      <c r="G64" s="80" t="s">
        <v>71</v>
      </c>
      <c r="H64" s="75">
        <v>3.0</v>
      </c>
      <c r="I64" s="100" t="s">
        <v>235</v>
      </c>
      <c r="J64" s="101"/>
      <c r="K64" s="77"/>
      <c r="L64" s="78" t="s">
        <v>46</v>
      </c>
      <c r="M64" s="77" t="s">
        <v>478</v>
      </c>
      <c r="N64" s="1"/>
      <c r="O64" s="1"/>
      <c r="P64" s="1"/>
      <c r="Q64" s="1"/>
      <c r="R64" s="1"/>
      <c r="S64" s="1"/>
      <c r="T64" s="1"/>
      <c r="U64" s="1"/>
      <c r="V64" s="1"/>
      <c r="W64" s="1"/>
      <c r="X64" s="1"/>
      <c r="Y64" s="1"/>
      <c r="Z64" s="1"/>
      <c r="AA64" s="1"/>
    </row>
    <row r="65">
      <c r="A65" s="33">
        <v>63.0</v>
      </c>
      <c r="B65" s="34" t="s">
        <v>482</v>
      </c>
      <c r="C65" s="36" t="s">
        <v>63</v>
      </c>
      <c r="D65" s="40" t="s">
        <v>408</v>
      </c>
      <c r="E65" s="43" t="s">
        <v>440</v>
      </c>
      <c r="F65" s="40" t="s">
        <v>488</v>
      </c>
      <c r="G65" s="74" t="s">
        <v>43</v>
      </c>
      <c r="H65" s="75">
        <v>5.0</v>
      </c>
      <c r="I65" s="100" t="s">
        <v>235</v>
      </c>
      <c r="J65" s="101"/>
      <c r="K65" s="77"/>
      <c r="L65" s="78" t="s">
        <v>46</v>
      </c>
      <c r="M65" s="77" t="s">
        <v>490</v>
      </c>
      <c r="N65" s="1"/>
      <c r="O65" s="1"/>
      <c r="P65" s="1"/>
      <c r="Q65" s="1"/>
      <c r="R65" s="1"/>
      <c r="S65" s="1"/>
      <c r="T65" s="1"/>
      <c r="U65" s="1"/>
      <c r="V65" s="1"/>
      <c r="W65" s="1"/>
      <c r="X65" s="1"/>
      <c r="Y65" s="1"/>
      <c r="Z65" s="1"/>
      <c r="AA65" s="1"/>
    </row>
    <row r="66">
      <c r="A66" s="49">
        <v>64.0</v>
      </c>
      <c r="B66" s="34" t="s">
        <v>494</v>
      </c>
      <c r="C66" s="36" t="s">
        <v>63</v>
      </c>
      <c r="D66" s="40" t="s">
        <v>408</v>
      </c>
      <c r="E66" s="43" t="s">
        <v>440</v>
      </c>
      <c r="F66" s="40" t="s">
        <v>497</v>
      </c>
      <c r="G66" s="74" t="s">
        <v>43</v>
      </c>
      <c r="H66" s="75">
        <v>5.0</v>
      </c>
      <c r="I66" s="100" t="s">
        <v>235</v>
      </c>
      <c r="J66" s="101"/>
      <c r="K66" s="77"/>
      <c r="L66" s="78" t="s">
        <v>46</v>
      </c>
      <c r="M66" s="77" t="s">
        <v>499</v>
      </c>
      <c r="N66" s="1"/>
      <c r="O66" s="1"/>
      <c r="P66" s="1"/>
      <c r="Q66" s="1"/>
      <c r="R66" s="1"/>
      <c r="S66" s="1"/>
      <c r="T66" s="1"/>
      <c r="U66" s="1"/>
      <c r="V66" s="1"/>
      <c r="W66" s="1"/>
      <c r="X66" s="1"/>
      <c r="Y66" s="1"/>
      <c r="Z66" s="1"/>
      <c r="AA66" s="1"/>
    </row>
    <row r="67">
      <c r="A67" s="33">
        <v>65.0</v>
      </c>
      <c r="B67" s="34" t="s">
        <v>504</v>
      </c>
      <c r="C67" s="36" t="s">
        <v>63</v>
      </c>
      <c r="D67" s="40" t="s">
        <v>408</v>
      </c>
      <c r="E67" s="43" t="s">
        <v>440</v>
      </c>
      <c r="F67" s="40" t="s">
        <v>507</v>
      </c>
      <c r="G67" s="74" t="s">
        <v>43</v>
      </c>
      <c r="H67" s="75">
        <v>5.0</v>
      </c>
      <c r="I67" s="100" t="s">
        <v>235</v>
      </c>
      <c r="J67" s="101"/>
      <c r="K67" s="77"/>
      <c r="L67" s="78" t="s">
        <v>46</v>
      </c>
      <c r="M67" s="77" t="s">
        <v>510</v>
      </c>
      <c r="N67" s="1"/>
      <c r="O67" s="1"/>
      <c r="P67" s="1"/>
      <c r="Q67" s="1"/>
      <c r="R67" s="1"/>
      <c r="S67" s="1"/>
      <c r="T67" s="1"/>
      <c r="U67" s="1"/>
      <c r="V67" s="1"/>
      <c r="W67" s="1"/>
      <c r="X67" s="1"/>
      <c r="Y67" s="1"/>
      <c r="Z67" s="1"/>
      <c r="AA67" s="1"/>
    </row>
    <row r="68">
      <c r="A68" s="49">
        <v>66.0</v>
      </c>
      <c r="B68" s="34" t="s">
        <v>511</v>
      </c>
      <c r="C68" s="36" t="s">
        <v>63</v>
      </c>
      <c r="D68" s="40" t="s">
        <v>408</v>
      </c>
      <c r="E68" s="43" t="s">
        <v>514</v>
      </c>
      <c r="F68" s="40" t="s">
        <v>867</v>
      </c>
      <c r="G68" s="74" t="s">
        <v>43</v>
      </c>
      <c r="H68" s="75">
        <v>5.0</v>
      </c>
      <c r="I68" s="100" t="s">
        <v>235</v>
      </c>
      <c r="J68" s="101"/>
      <c r="K68" s="77"/>
      <c r="L68" s="83" t="s">
        <v>32</v>
      </c>
      <c r="M68" s="77"/>
      <c r="N68" s="1"/>
      <c r="O68" s="1"/>
      <c r="P68" s="1"/>
      <c r="Q68" s="1"/>
      <c r="R68" s="1"/>
      <c r="S68" s="1"/>
      <c r="T68" s="1"/>
      <c r="U68" s="1"/>
      <c r="V68" s="1"/>
      <c r="W68" s="1"/>
      <c r="X68" s="1"/>
      <c r="Y68" s="1"/>
      <c r="Z68" s="1"/>
      <c r="AA68" s="1"/>
    </row>
    <row r="69">
      <c r="A69" s="33">
        <v>67.0</v>
      </c>
      <c r="B69" s="34" t="s">
        <v>519</v>
      </c>
      <c r="C69" s="36" t="s">
        <v>63</v>
      </c>
      <c r="D69" s="40" t="s">
        <v>408</v>
      </c>
      <c r="E69" s="43" t="s">
        <v>514</v>
      </c>
      <c r="F69" s="40" t="s">
        <v>520</v>
      </c>
      <c r="G69" s="74" t="s">
        <v>43</v>
      </c>
      <c r="H69" s="75">
        <v>5.0</v>
      </c>
      <c r="I69" s="100" t="s">
        <v>235</v>
      </c>
      <c r="J69" s="101"/>
      <c r="K69" s="77"/>
      <c r="L69" s="83" t="s">
        <v>32</v>
      </c>
      <c r="M69" s="77"/>
      <c r="N69" s="1"/>
      <c r="O69" s="1"/>
      <c r="P69" s="1"/>
      <c r="Q69" s="1"/>
      <c r="R69" s="1"/>
      <c r="S69" s="1"/>
      <c r="T69" s="1"/>
      <c r="U69" s="1"/>
      <c r="V69" s="1"/>
      <c r="W69" s="1"/>
      <c r="X69" s="1"/>
      <c r="Y69" s="1"/>
      <c r="Z69" s="1"/>
      <c r="AA69" s="1"/>
    </row>
    <row r="70">
      <c r="A70" s="49">
        <v>68.0</v>
      </c>
      <c r="B70" s="34" t="s">
        <v>523</v>
      </c>
      <c r="C70" s="36" t="s">
        <v>63</v>
      </c>
      <c r="D70" s="40" t="s">
        <v>524</v>
      </c>
      <c r="E70" s="43" t="s">
        <v>525</v>
      </c>
      <c r="F70" s="40" t="s">
        <v>526</v>
      </c>
      <c r="G70" s="80" t="s">
        <v>71</v>
      </c>
      <c r="H70" s="75">
        <v>3.0</v>
      </c>
      <c r="I70" s="76" t="s">
        <v>73</v>
      </c>
      <c r="J70" s="105" t="s">
        <v>527</v>
      </c>
      <c r="K70" s="77"/>
      <c r="L70" s="78" t="s">
        <v>46</v>
      </c>
      <c r="M70" s="77"/>
      <c r="N70" s="1"/>
      <c r="O70" s="1"/>
      <c r="P70" s="1"/>
      <c r="Q70" s="1"/>
      <c r="R70" s="1"/>
      <c r="S70" s="1"/>
      <c r="T70" s="1"/>
      <c r="U70" s="1"/>
      <c r="V70" s="1"/>
      <c r="W70" s="1"/>
      <c r="X70" s="1"/>
      <c r="Y70" s="1"/>
      <c r="Z70" s="1"/>
      <c r="AA70" s="1"/>
    </row>
    <row r="71">
      <c r="A71" s="33">
        <v>69.0</v>
      </c>
      <c r="B71" s="34" t="s">
        <v>528</v>
      </c>
      <c r="C71" s="64" t="s">
        <v>185</v>
      </c>
      <c r="D71" s="40" t="s">
        <v>524</v>
      </c>
      <c r="E71" s="43" t="s">
        <v>525</v>
      </c>
      <c r="F71" s="40" t="s">
        <v>530</v>
      </c>
      <c r="G71" s="80" t="s">
        <v>71</v>
      </c>
      <c r="H71" s="75">
        <v>3.0</v>
      </c>
      <c r="I71" s="76" t="s">
        <v>73</v>
      </c>
      <c r="J71" s="105" t="s">
        <v>527</v>
      </c>
      <c r="K71" s="77"/>
      <c r="L71" s="78" t="s">
        <v>46</v>
      </c>
      <c r="M71" s="77"/>
      <c r="N71" s="1"/>
      <c r="O71" s="1"/>
      <c r="P71" s="1"/>
      <c r="Q71" s="1"/>
      <c r="R71" s="1"/>
      <c r="S71" s="1"/>
      <c r="T71" s="1"/>
      <c r="U71" s="1"/>
      <c r="V71" s="1"/>
      <c r="W71" s="1"/>
      <c r="X71" s="1"/>
      <c r="Y71" s="1"/>
      <c r="Z71" s="1"/>
      <c r="AA71" s="1"/>
    </row>
    <row r="72">
      <c r="A72" s="49">
        <v>70.0</v>
      </c>
      <c r="B72" s="34" t="s">
        <v>531</v>
      </c>
      <c r="C72" s="36" t="s">
        <v>63</v>
      </c>
      <c r="D72" s="40" t="s">
        <v>524</v>
      </c>
      <c r="E72" s="43" t="s">
        <v>525</v>
      </c>
      <c r="F72" s="40" t="s">
        <v>532</v>
      </c>
      <c r="G72" s="80" t="s">
        <v>71</v>
      </c>
      <c r="H72" s="75">
        <v>3.0</v>
      </c>
      <c r="I72" s="76" t="s">
        <v>73</v>
      </c>
      <c r="J72" s="105" t="s">
        <v>527</v>
      </c>
      <c r="K72" s="77"/>
      <c r="L72" s="78" t="s">
        <v>46</v>
      </c>
      <c r="M72" s="77"/>
      <c r="N72" s="1"/>
      <c r="O72" s="1"/>
      <c r="P72" s="1"/>
      <c r="Q72" s="1"/>
      <c r="R72" s="1"/>
      <c r="S72" s="1"/>
      <c r="T72" s="1"/>
      <c r="U72" s="1"/>
      <c r="V72" s="1"/>
      <c r="W72" s="1"/>
      <c r="X72" s="1"/>
      <c r="Y72" s="1"/>
      <c r="Z72" s="1"/>
      <c r="AA72" s="1"/>
    </row>
    <row r="73">
      <c r="A73" s="33">
        <v>71.0</v>
      </c>
      <c r="B73" s="34" t="s">
        <v>534</v>
      </c>
      <c r="C73" s="36" t="s">
        <v>63</v>
      </c>
      <c r="D73" s="40" t="s">
        <v>524</v>
      </c>
      <c r="E73" s="43" t="s">
        <v>525</v>
      </c>
      <c r="F73" s="40" t="s">
        <v>535</v>
      </c>
      <c r="G73" s="80" t="s">
        <v>71</v>
      </c>
      <c r="H73" s="75">
        <v>3.0</v>
      </c>
      <c r="I73" s="76" t="s">
        <v>73</v>
      </c>
      <c r="J73" s="105" t="s">
        <v>527</v>
      </c>
      <c r="K73" s="77"/>
      <c r="L73" s="78" t="s">
        <v>46</v>
      </c>
      <c r="M73" s="77"/>
      <c r="N73" s="1"/>
      <c r="O73" s="1"/>
      <c r="P73" s="1"/>
      <c r="Q73" s="1"/>
      <c r="R73" s="1"/>
      <c r="S73" s="1"/>
      <c r="T73" s="1"/>
      <c r="U73" s="1"/>
      <c r="V73" s="1"/>
      <c r="W73" s="1"/>
      <c r="X73" s="1"/>
      <c r="Y73" s="1"/>
      <c r="Z73" s="1"/>
      <c r="AA73" s="1"/>
    </row>
    <row r="74">
      <c r="A74" s="49">
        <v>72.0</v>
      </c>
      <c r="B74" s="34" t="s">
        <v>537</v>
      </c>
      <c r="C74" s="36" t="s">
        <v>63</v>
      </c>
      <c r="D74" s="40" t="s">
        <v>524</v>
      </c>
      <c r="E74" s="43" t="s">
        <v>525</v>
      </c>
      <c r="F74" s="40" t="s">
        <v>538</v>
      </c>
      <c r="G74" s="80" t="s">
        <v>71</v>
      </c>
      <c r="H74" s="75">
        <v>3.0</v>
      </c>
      <c r="I74" s="76" t="s">
        <v>73</v>
      </c>
      <c r="J74" s="105" t="s">
        <v>527</v>
      </c>
      <c r="K74" s="77"/>
      <c r="L74" s="78" t="s">
        <v>46</v>
      </c>
      <c r="M74" s="77"/>
      <c r="N74" s="1"/>
      <c r="O74" s="1"/>
      <c r="P74" s="1"/>
      <c r="Q74" s="1"/>
      <c r="R74" s="1"/>
      <c r="S74" s="1"/>
      <c r="T74" s="1"/>
      <c r="U74" s="1"/>
      <c r="V74" s="1"/>
      <c r="W74" s="1"/>
      <c r="X74" s="1"/>
      <c r="Y74" s="1"/>
      <c r="Z74" s="1"/>
      <c r="AA74" s="1"/>
    </row>
    <row r="75">
      <c r="A75" s="33">
        <v>73.0</v>
      </c>
      <c r="B75" s="34" t="s">
        <v>540</v>
      </c>
      <c r="C75" s="36" t="s">
        <v>63</v>
      </c>
      <c r="D75" s="40" t="s">
        <v>524</v>
      </c>
      <c r="E75" s="43" t="s">
        <v>525</v>
      </c>
      <c r="F75" s="40" t="s">
        <v>541</v>
      </c>
      <c r="G75" s="74" t="s">
        <v>43</v>
      </c>
      <c r="H75" s="75">
        <v>5.0</v>
      </c>
      <c r="I75" s="76" t="s">
        <v>73</v>
      </c>
      <c r="J75" s="105" t="s">
        <v>527</v>
      </c>
      <c r="K75" s="77"/>
      <c r="L75" s="78" t="s">
        <v>46</v>
      </c>
      <c r="M75" s="77"/>
      <c r="N75" s="1"/>
      <c r="O75" s="1"/>
      <c r="P75" s="1"/>
      <c r="Q75" s="1"/>
      <c r="R75" s="1"/>
      <c r="S75" s="1"/>
      <c r="T75" s="1"/>
      <c r="U75" s="1"/>
      <c r="V75" s="1"/>
      <c r="W75" s="1"/>
      <c r="X75" s="1"/>
      <c r="Y75" s="1"/>
      <c r="Z75" s="1"/>
      <c r="AA75" s="1"/>
    </row>
    <row r="76">
      <c r="A76" s="49">
        <v>74.0</v>
      </c>
      <c r="B76" s="34" t="s">
        <v>543</v>
      </c>
      <c r="C76" s="36" t="s">
        <v>63</v>
      </c>
      <c r="D76" s="40" t="s">
        <v>524</v>
      </c>
      <c r="E76" s="43" t="s">
        <v>544</v>
      </c>
      <c r="F76" s="40" t="s">
        <v>545</v>
      </c>
      <c r="G76" s="80" t="s">
        <v>71</v>
      </c>
      <c r="H76" s="75">
        <v>3.0</v>
      </c>
      <c r="I76" s="76" t="s">
        <v>73</v>
      </c>
      <c r="J76" s="105" t="s">
        <v>527</v>
      </c>
      <c r="K76" s="77"/>
      <c r="L76" s="78" t="s">
        <v>46</v>
      </c>
      <c r="M76" s="77"/>
      <c r="N76" s="1"/>
      <c r="O76" s="1"/>
      <c r="P76" s="1"/>
      <c r="Q76" s="1"/>
      <c r="R76" s="1"/>
      <c r="S76" s="1"/>
      <c r="T76" s="1"/>
      <c r="U76" s="1"/>
      <c r="V76" s="1"/>
      <c r="W76" s="1"/>
      <c r="X76" s="1"/>
      <c r="Y76" s="1"/>
      <c r="Z76" s="1"/>
      <c r="AA76" s="1"/>
    </row>
    <row r="77">
      <c r="A77" s="33">
        <v>75.0</v>
      </c>
      <c r="B77" s="34" t="s">
        <v>547</v>
      </c>
      <c r="C77" s="36" t="s">
        <v>63</v>
      </c>
      <c r="D77" s="40" t="s">
        <v>524</v>
      </c>
      <c r="E77" s="43" t="s">
        <v>544</v>
      </c>
      <c r="F77" s="40" t="s">
        <v>548</v>
      </c>
      <c r="G77" s="80" t="s">
        <v>71</v>
      </c>
      <c r="H77" s="75">
        <v>3.0</v>
      </c>
      <c r="I77" s="76" t="s">
        <v>73</v>
      </c>
      <c r="J77" s="105" t="s">
        <v>527</v>
      </c>
      <c r="K77" s="77"/>
      <c r="L77" s="78" t="s">
        <v>46</v>
      </c>
      <c r="M77" s="77"/>
      <c r="N77" s="1"/>
      <c r="O77" s="1"/>
      <c r="P77" s="1"/>
      <c r="Q77" s="1"/>
      <c r="R77" s="1"/>
      <c r="S77" s="1"/>
      <c r="T77" s="1"/>
      <c r="U77" s="1"/>
      <c r="V77" s="1"/>
      <c r="W77" s="1"/>
      <c r="X77" s="1"/>
      <c r="Y77" s="1"/>
      <c r="Z77" s="1"/>
      <c r="AA77" s="1"/>
    </row>
    <row r="78">
      <c r="A78" s="49">
        <v>76.0</v>
      </c>
      <c r="B78" s="34" t="s">
        <v>550</v>
      </c>
      <c r="C78" s="36" t="s">
        <v>63</v>
      </c>
      <c r="D78" s="40" t="s">
        <v>524</v>
      </c>
      <c r="E78" s="43" t="s">
        <v>544</v>
      </c>
      <c r="F78" s="40" t="s">
        <v>552</v>
      </c>
      <c r="G78" s="80" t="s">
        <v>71</v>
      </c>
      <c r="H78" s="75">
        <v>3.0</v>
      </c>
      <c r="I78" s="76" t="s">
        <v>73</v>
      </c>
      <c r="J78" s="105" t="s">
        <v>527</v>
      </c>
      <c r="K78" s="77"/>
      <c r="L78" s="78" t="s">
        <v>46</v>
      </c>
      <c r="M78" s="77"/>
      <c r="N78" s="1"/>
      <c r="O78" s="1"/>
      <c r="P78" s="1"/>
      <c r="Q78" s="1"/>
      <c r="R78" s="1"/>
      <c r="S78" s="1"/>
      <c r="T78" s="1"/>
      <c r="U78" s="1"/>
      <c r="V78" s="1"/>
      <c r="W78" s="1"/>
      <c r="X78" s="1"/>
      <c r="Y78" s="1"/>
      <c r="Z78" s="1"/>
      <c r="AA78" s="1"/>
    </row>
    <row r="79">
      <c r="A79" s="33">
        <v>77.0</v>
      </c>
      <c r="B79" s="34" t="s">
        <v>553</v>
      </c>
      <c r="C79" s="36" t="s">
        <v>63</v>
      </c>
      <c r="D79" s="40" t="s">
        <v>524</v>
      </c>
      <c r="E79" s="43" t="s">
        <v>544</v>
      </c>
      <c r="F79" s="40" t="s">
        <v>554</v>
      </c>
      <c r="G79" s="80" t="s">
        <v>71</v>
      </c>
      <c r="H79" s="75">
        <v>3.0</v>
      </c>
      <c r="I79" s="76" t="s">
        <v>73</v>
      </c>
      <c r="J79" s="105" t="s">
        <v>527</v>
      </c>
      <c r="K79" s="77"/>
      <c r="L79" s="78" t="s">
        <v>46</v>
      </c>
      <c r="M79" s="77"/>
      <c r="N79" s="1"/>
      <c r="O79" s="1"/>
      <c r="P79" s="1"/>
      <c r="Q79" s="1"/>
      <c r="R79" s="1"/>
      <c r="S79" s="1"/>
      <c r="T79" s="1"/>
      <c r="U79" s="1"/>
      <c r="V79" s="1"/>
      <c r="W79" s="1"/>
      <c r="X79" s="1"/>
      <c r="Y79" s="1"/>
      <c r="Z79" s="1"/>
      <c r="AA79" s="1"/>
    </row>
    <row r="80">
      <c r="A80" s="49">
        <v>78.0</v>
      </c>
      <c r="B80" s="34" t="s">
        <v>556</v>
      </c>
      <c r="C80" s="36" t="s">
        <v>63</v>
      </c>
      <c r="D80" s="40" t="s">
        <v>524</v>
      </c>
      <c r="E80" s="43" t="s">
        <v>544</v>
      </c>
      <c r="F80" s="40" t="s">
        <v>557</v>
      </c>
      <c r="G80" s="80" t="s">
        <v>71</v>
      </c>
      <c r="H80" s="75">
        <v>3.0</v>
      </c>
      <c r="I80" s="76" t="s">
        <v>73</v>
      </c>
      <c r="J80" s="105" t="s">
        <v>527</v>
      </c>
      <c r="K80" s="77"/>
      <c r="L80" s="78" t="s">
        <v>46</v>
      </c>
      <c r="M80" s="77"/>
      <c r="N80" s="1"/>
      <c r="O80" s="1"/>
      <c r="P80" s="1"/>
      <c r="Q80" s="1"/>
      <c r="R80" s="1"/>
      <c r="S80" s="1"/>
      <c r="T80" s="1"/>
      <c r="U80" s="1"/>
      <c r="V80" s="1"/>
      <c r="W80" s="1"/>
      <c r="X80" s="1"/>
      <c r="Y80" s="1"/>
      <c r="Z80" s="1"/>
      <c r="AA80" s="1"/>
    </row>
    <row r="81">
      <c r="A81" s="33">
        <v>79.0</v>
      </c>
      <c r="B81" s="34" t="s">
        <v>559</v>
      </c>
      <c r="C81" s="36" t="s">
        <v>63</v>
      </c>
      <c r="D81" s="40" t="s">
        <v>524</v>
      </c>
      <c r="E81" s="43" t="s">
        <v>560</v>
      </c>
      <c r="F81" s="40" t="s">
        <v>561</v>
      </c>
      <c r="G81" s="80" t="s">
        <v>71</v>
      </c>
      <c r="H81" s="75">
        <v>3.0</v>
      </c>
      <c r="I81" s="76" t="s">
        <v>73</v>
      </c>
      <c r="J81" s="105" t="s">
        <v>527</v>
      </c>
      <c r="K81" s="77"/>
      <c r="L81" s="78" t="s">
        <v>46</v>
      </c>
      <c r="M81" s="77"/>
      <c r="N81" s="1"/>
      <c r="O81" s="1"/>
      <c r="P81" s="1"/>
      <c r="Q81" s="1"/>
      <c r="R81" s="1"/>
      <c r="S81" s="1"/>
      <c r="T81" s="1"/>
      <c r="U81" s="1"/>
      <c r="V81" s="1"/>
      <c r="W81" s="1"/>
      <c r="X81" s="1"/>
      <c r="Y81" s="1"/>
      <c r="Z81" s="1"/>
      <c r="AA81" s="1"/>
    </row>
    <row r="82">
      <c r="A82" s="49">
        <v>80.0</v>
      </c>
      <c r="B82" s="34" t="s">
        <v>563</v>
      </c>
      <c r="C82" s="36" t="s">
        <v>63</v>
      </c>
      <c r="D82" s="40" t="s">
        <v>524</v>
      </c>
      <c r="E82" s="43" t="s">
        <v>560</v>
      </c>
      <c r="F82" s="40" t="s">
        <v>564</v>
      </c>
      <c r="G82" s="80" t="s">
        <v>71</v>
      </c>
      <c r="H82" s="75">
        <v>3.0</v>
      </c>
      <c r="I82" s="76" t="s">
        <v>73</v>
      </c>
      <c r="J82" s="105" t="s">
        <v>527</v>
      </c>
      <c r="K82" s="77"/>
      <c r="L82" s="78" t="s">
        <v>46</v>
      </c>
      <c r="M82" s="77"/>
      <c r="N82" s="1"/>
      <c r="O82" s="1"/>
      <c r="P82" s="1"/>
      <c r="Q82" s="1"/>
      <c r="R82" s="1"/>
      <c r="S82" s="1"/>
      <c r="T82" s="1"/>
      <c r="U82" s="1"/>
      <c r="V82" s="1"/>
      <c r="W82" s="1"/>
      <c r="X82" s="1"/>
      <c r="Y82" s="1"/>
      <c r="Z82" s="1"/>
      <c r="AA82" s="1"/>
    </row>
    <row r="83">
      <c r="A83" s="33">
        <v>81.0</v>
      </c>
      <c r="B83" s="34" t="s">
        <v>566</v>
      </c>
      <c r="C83" s="36" t="s">
        <v>63</v>
      </c>
      <c r="D83" s="40" t="s">
        <v>524</v>
      </c>
      <c r="E83" s="43" t="s">
        <v>560</v>
      </c>
      <c r="F83" s="40" t="s">
        <v>567</v>
      </c>
      <c r="G83" s="80" t="s">
        <v>71</v>
      </c>
      <c r="H83" s="75">
        <v>3.0</v>
      </c>
      <c r="I83" s="76" t="s">
        <v>73</v>
      </c>
      <c r="J83" s="106" t="s">
        <v>527</v>
      </c>
      <c r="K83" s="77"/>
      <c r="L83" s="78" t="s">
        <v>46</v>
      </c>
      <c r="M83" s="77"/>
      <c r="N83" s="1"/>
      <c r="O83" s="1"/>
      <c r="P83" s="1"/>
      <c r="Q83" s="1"/>
      <c r="R83" s="1"/>
      <c r="S83" s="1"/>
      <c r="T83" s="1"/>
      <c r="U83" s="1"/>
      <c r="V83" s="1"/>
      <c r="W83" s="1"/>
      <c r="X83" s="1"/>
      <c r="Y83" s="1"/>
      <c r="Z83" s="1"/>
      <c r="AA83" s="1"/>
    </row>
    <row r="84">
      <c r="A84" s="49">
        <v>82.0</v>
      </c>
      <c r="B84" s="34" t="s">
        <v>570</v>
      </c>
      <c r="C84" s="36" t="s">
        <v>63</v>
      </c>
      <c r="D84" s="40" t="s">
        <v>524</v>
      </c>
      <c r="E84" s="43" t="s">
        <v>560</v>
      </c>
      <c r="F84" s="40" t="s">
        <v>571</v>
      </c>
      <c r="G84" s="80" t="s">
        <v>71</v>
      </c>
      <c r="H84" s="75">
        <v>3.0</v>
      </c>
      <c r="I84" s="76" t="s">
        <v>73</v>
      </c>
      <c r="J84" s="106" t="s">
        <v>527</v>
      </c>
      <c r="K84" s="77"/>
      <c r="L84" s="78" t="s">
        <v>46</v>
      </c>
      <c r="M84" s="77"/>
      <c r="N84" s="1"/>
      <c r="O84" s="1"/>
      <c r="P84" s="1"/>
      <c r="Q84" s="1"/>
      <c r="R84" s="1"/>
      <c r="S84" s="1"/>
      <c r="T84" s="1"/>
      <c r="U84" s="1"/>
      <c r="V84" s="1"/>
      <c r="W84" s="1"/>
      <c r="X84" s="1"/>
      <c r="Y84" s="1"/>
      <c r="Z84" s="1"/>
      <c r="AA84" s="1"/>
    </row>
    <row r="85">
      <c r="A85" s="33">
        <v>83.0</v>
      </c>
      <c r="B85" s="34" t="s">
        <v>573</v>
      </c>
      <c r="C85" s="36" t="s">
        <v>63</v>
      </c>
      <c r="D85" s="40" t="s">
        <v>524</v>
      </c>
      <c r="E85" s="43" t="s">
        <v>560</v>
      </c>
      <c r="F85" s="40" t="s">
        <v>574</v>
      </c>
      <c r="G85" s="80" t="s">
        <v>71</v>
      </c>
      <c r="H85" s="75">
        <v>3.0</v>
      </c>
      <c r="I85" s="76" t="s">
        <v>73</v>
      </c>
      <c r="J85" s="106" t="s">
        <v>527</v>
      </c>
      <c r="K85" s="77"/>
      <c r="L85" s="78" t="s">
        <v>46</v>
      </c>
      <c r="M85" s="77"/>
      <c r="N85" s="1"/>
      <c r="O85" s="1"/>
      <c r="P85" s="1"/>
      <c r="Q85" s="1"/>
      <c r="R85" s="1"/>
      <c r="S85" s="1"/>
      <c r="T85" s="1"/>
      <c r="U85" s="1"/>
      <c r="V85" s="1"/>
      <c r="W85" s="1"/>
      <c r="X85" s="1"/>
      <c r="Y85" s="1"/>
      <c r="Z85" s="1"/>
      <c r="AA85" s="1"/>
    </row>
    <row r="86">
      <c r="A86" s="49">
        <v>84.0</v>
      </c>
      <c r="B86" s="34" t="s">
        <v>576</v>
      </c>
      <c r="C86" s="36" t="s">
        <v>63</v>
      </c>
      <c r="D86" s="40" t="s">
        <v>577</v>
      </c>
      <c r="E86" s="43" t="s">
        <v>578</v>
      </c>
      <c r="F86" s="40" t="s">
        <v>579</v>
      </c>
      <c r="G86" s="80" t="s">
        <v>71</v>
      </c>
      <c r="H86" s="75">
        <v>3.0</v>
      </c>
      <c r="I86" s="100" t="s">
        <v>235</v>
      </c>
      <c r="J86" s="77"/>
      <c r="K86" s="77"/>
      <c r="L86" s="83" t="s">
        <v>32</v>
      </c>
      <c r="M86" s="77"/>
      <c r="N86" s="1"/>
      <c r="O86" s="1"/>
      <c r="P86" s="1"/>
      <c r="Q86" s="1"/>
      <c r="R86" s="1"/>
      <c r="S86" s="1"/>
      <c r="T86" s="1"/>
      <c r="U86" s="1"/>
      <c r="V86" s="1"/>
      <c r="W86" s="1"/>
      <c r="X86" s="1"/>
      <c r="Y86" s="1"/>
      <c r="Z86" s="1"/>
      <c r="AA86" s="1"/>
    </row>
    <row r="87">
      <c r="A87" s="33">
        <v>85.0</v>
      </c>
      <c r="B87" s="34" t="s">
        <v>581</v>
      </c>
      <c r="C87" s="36" t="s">
        <v>63</v>
      </c>
      <c r="D87" s="40" t="s">
        <v>577</v>
      </c>
      <c r="E87" s="43" t="s">
        <v>578</v>
      </c>
      <c r="F87" s="40" t="s">
        <v>582</v>
      </c>
      <c r="G87" s="80" t="s">
        <v>71</v>
      </c>
      <c r="H87" s="75">
        <v>3.0</v>
      </c>
      <c r="I87" s="100" t="s">
        <v>235</v>
      </c>
      <c r="J87" s="77"/>
      <c r="K87" s="77"/>
      <c r="L87" s="83" t="s">
        <v>32</v>
      </c>
      <c r="M87" s="77"/>
      <c r="N87" s="1"/>
      <c r="O87" s="1"/>
      <c r="P87" s="1"/>
      <c r="Q87" s="1"/>
      <c r="R87" s="1"/>
      <c r="S87" s="1"/>
      <c r="T87" s="1"/>
      <c r="U87" s="1"/>
      <c r="V87" s="1"/>
      <c r="W87" s="1"/>
      <c r="X87" s="1"/>
      <c r="Y87" s="1"/>
      <c r="Z87" s="1"/>
      <c r="AA87" s="1"/>
    </row>
    <row r="88">
      <c r="A88" s="49">
        <v>86.0</v>
      </c>
      <c r="B88" s="34" t="s">
        <v>583</v>
      </c>
      <c r="C88" s="36" t="s">
        <v>63</v>
      </c>
      <c r="D88" s="40" t="s">
        <v>577</v>
      </c>
      <c r="E88" s="43" t="s">
        <v>578</v>
      </c>
      <c r="F88" s="40" t="s">
        <v>584</v>
      </c>
      <c r="G88" s="80" t="s">
        <v>71</v>
      </c>
      <c r="H88" s="75">
        <v>3.0</v>
      </c>
      <c r="I88" s="100" t="s">
        <v>235</v>
      </c>
      <c r="J88" s="77"/>
      <c r="K88" s="77"/>
      <c r="L88" s="83" t="s">
        <v>32</v>
      </c>
      <c r="M88" s="77"/>
      <c r="N88" s="1"/>
      <c r="O88" s="1"/>
      <c r="P88" s="1"/>
      <c r="Q88" s="1"/>
      <c r="R88" s="1"/>
      <c r="S88" s="1"/>
      <c r="T88" s="1"/>
      <c r="U88" s="1"/>
      <c r="V88" s="1"/>
      <c r="W88" s="1"/>
      <c r="X88" s="1"/>
      <c r="Y88" s="1"/>
      <c r="Z88" s="1"/>
      <c r="AA88" s="1"/>
    </row>
    <row r="89" ht="14.25" customHeight="1">
      <c r="A89" s="33">
        <v>87.0</v>
      </c>
      <c r="B89" s="34" t="s">
        <v>585</v>
      </c>
      <c r="C89" s="36" t="s">
        <v>63</v>
      </c>
      <c r="D89" s="40" t="s">
        <v>577</v>
      </c>
      <c r="E89" s="43" t="s">
        <v>578</v>
      </c>
      <c r="F89" s="40" t="s">
        <v>586</v>
      </c>
      <c r="G89" s="80" t="s">
        <v>71</v>
      </c>
      <c r="H89" s="75">
        <v>3.0</v>
      </c>
      <c r="I89" s="100" t="s">
        <v>235</v>
      </c>
      <c r="J89" s="77"/>
      <c r="K89" s="77"/>
      <c r="L89" s="83" t="s">
        <v>32</v>
      </c>
      <c r="M89" s="77"/>
      <c r="N89" s="1"/>
      <c r="O89" s="1"/>
      <c r="P89" s="1"/>
      <c r="Q89" s="1"/>
      <c r="R89" s="1"/>
      <c r="S89" s="1"/>
      <c r="T89" s="1"/>
      <c r="U89" s="1"/>
      <c r="V89" s="1"/>
      <c r="W89" s="1"/>
      <c r="X89" s="1"/>
      <c r="Y89" s="1"/>
      <c r="Z89" s="1"/>
      <c r="AA89" s="1"/>
    </row>
    <row r="90" ht="14.25" customHeight="1">
      <c r="A90" s="49">
        <v>88.0</v>
      </c>
      <c r="B90" s="34" t="s">
        <v>587</v>
      </c>
      <c r="C90" s="36" t="s">
        <v>63</v>
      </c>
      <c r="D90" s="40" t="s">
        <v>577</v>
      </c>
      <c r="E90" s="43" t="s">
        <v>588</v>
      </c>
      <c r="F90" s="40" t="s">
        <v>589</v>
      </c>
      <c r="G90" s="74" t="s">
        <v>43</v>
      </c>
      <c r="H90" s="75">
        <v>5.0</v>
      </c>
      <c r="I90" s="100" t="s">
        <v>235</v>
      </c>
      <c r="J90" s="77"/>
      <c r="K90" s="77"/>
      <c r="L90" s="83" t="s">
        <v>32</v>
      </c>
      <c r="M90" s="77"/>
      <c r="N90" s="1"/>
      <c r="O90" s="1"/>
      <c r="P90" s="1"/>
      <c r="Q90" s="1"/>
      <c r="R90" s="1"/>
      <c r="S90" s="1"/>
      <c r="T90" s="1"/>
      <c r="U90" s="1"/>
      <c r="V90" s="1"/>
      <c r="W90" s="1"/>
      <c r="X90" s="1"/>
      <c r="Y90" s="1"/>
      <c r="Z90" s="1"/>
      <c r="AA90" s="1"/>
    </row>
    <row r="91">
      <c r="A91" s="33">
        <v>89.0</v>
      </c>
      <c r="B91" s="34" t="s">
        <v>590</v>
      </c>
      <c r="C91" s="36" t="s">
        <v>63</v>
      </c>
      <c r="D91" s="40" t="s">
        <v>577</v>
      </c>
      <c r="E91" s="43" t="s">
        <v>588</v>
      </c>
      <c r="F91" s="40" t="s">
        <v>591</v>
      </c>
      <c r="G91" s="74" t="s">
        <v>43</v>
      </c>
      <c r="H91" s="75">
        <v>5.0</v>
      </c>
      <c r="I91" s="100" t="s">
        <v>235</v>
      </c>
      <c r="J91" s="77"/>
      <c r="K91" s="77"/>
      <c r="L91" s="83" t="s">
        <v>32</v>
      </c>
      <c r="M91" s="77"/>
      <c r="N91" s="1"/>
      <c r="O91" s="1"/>
      <c r="P91" s="1"/>
      <c r="Q91" s="1"/>
      <c r="R91" s="1"/>
      <c r="S91" s="1"/>
      <c r="T91" s="1"/>
      <c r="U91" s="1"/>
      <c r="V91" s="1"/>
      <c r="W91" s="1"/>
      <c r="X91" s="1"/>
      <c r="Y91" s="1"/>
      <c r="Z91" s="1"/>
      <c r="AA91" s="1"/>
    </row>
    <row r="92" ht="29.25" customHeight="1">
      <c r="A92" s="49">
        <v>90.0</v>
      </c>
      <c r="B92" s="34" t="s">
        <v>592</v>
      </c>
      <c r="C92" s="36" t="s">
        <v>63</v>
      </c>
      <c r="D92" s="40" t="s">
        <v>577</v>
      </c>
      <c r="E92" s="43" t="s">
        <v>588</v>
      </c>
      <c r="F92" s="40" t="s">
        <v>593</v>
      </c>
      <c r="G92" s="74" t="s">
        <v>43</v>
      </c>
      <c r="H92" s="75">
        <v>5.0</v>
      </c>
      <c r="I92" s="100" t="s">
        <v>235</v>
      </c>
      <c r="J92" s="77"/>
      <c r="K92" s="77"/>
      <c r="L92" s="83" t="s">
        <v>32</v>
      </c>
      <c r="M92" s="77"/>
      <c r="N92" s="1"/>
      <c r="O92" s="1"/>
      <c r="P92" s="1"/>
      <c r="Q92" s="1"/>
      <c r="R92" s="1"/>
      <c r="S92" s="1"/>
      <c r="T92" s="1"/>
      <c r="U92" s="1"/>
      <c r="V92" s="1"/>
      <c r="W92" s="1"/>
      <c r="X92" s="1"/>
      <c r="Y92" s="1"/>
      <c r="Z92" s="1"/>
      <c r="AA92" s="1"/>
    </row>
    <row r="93" ht="19.5" customHeight="1">
      <c r="A93" s="107">
        <v>91.0</v>
      </c>
      <c r="B93" s="108" t="s">
        <v>594</v>
      </c>
      <c r="C93" s="109" t="s">
        <v>63</v>
      </c>
      <c r="D93" s="110" t="s">
        <v>577</v>
      </c>
      <c r="E93" s="111" t="s">
        <v>595</v>
      </c>
      <c r="F93" s="110" t="s">
        <v>596</v>
      </c>
      <c r="G93" s="112" t="s">
        <v>43</v>
      </c>
      <c r="H93" s="113">
        <v>5.0</v>
      </c>
      <c r="I93" s="114" t="s">
        <v>235</v>
      </c>
      <c r="J93" s="115"/>
      <c r="K93" s="115"/>
      <c r="L93" s="116" t="s">
        <v>32</v>
      </c>
      <c r="M93" s="115"/>
      <c r="N93" s="1"/>
      <c r="O93" s="1"/>
      <c r="P93" s="1"/>
      <c r="Q93" s="1"/>
      <c r="R93" s="1"/>
      <c r="S93" s="1"/>
      <c r="T93" s="1"/>
      <c r="U93" s="1"/>
      <c r="V93" s="1"/>
      <c r="W93" s="1"/>
      <c r="X93" s="1"/>
      <c r="Y93" s="1"/>
      <c r="Z93" s="1"/>
      <c r="AA93" s="1"/>
    </row>
    <row r="94" ht="19.5" customHeight="1">
      <c r="A94" s="117">
        <v>92.0</v>
      </c>
      <c r="B94" s="108" t="s">
        <v>597</v>
      </c>
      <c r="C94" s="109" t="s">
        <v>63</v>
      </c>
      <c r="D94" s="110" t="s">
        <v>577</v>
      </c>
      <c r="E94" s="111" t="s">
        <v>595</v>
      </c>
      <c r="F94" s="110" t="s">
        <v>598</v>
      </c>
      <c r="G94" s="112" t="s">
        <v>43</v>
      </c>
      <c r="H94" s="113">
        <v>5.0</v>
      </c>
      <c r="I94" s="114" t="s">
        <v>235</v>
      </c>
      <c r="J94" s="115"/>
      <c r="K94" s="115"/>
      <c r="L94" s="116" t="s">
        <v>32</v>
      </c>
      <c r="M94" s="115"/>
      <c r="N94" s="1"/>
      <c r="O94" s="1"/>
      <c r="P94" s="1"/>
      <c r="Q94" s="1"/>
      <c r="R94" s="1"/>
      <c r="S94" s="1"/>
      <c r="T94" s="1"/>
      <c r="U94" s="1"/>
      <c r="V94" s="1"/>
      <c r="W94" s="1"/>
      <c r="X94" s="1"/>
      <c r="Y94" s="1"/>
      <c r="Z94" s="1"/>
      <c r="AA94" s="1"/>
    </row>
    <row r="95" ht="19.5" customHeight="1">
      <c r="A95" s="118">
        <v>93.0</v>
      </c>
      <c r="B95" s="119" t="s">
        <v>599</v>
      </c>
      <c r="C95" s="120" t="s">
        <v>185</v>
      </c>
      <c r="D95" s="110" t="s">
        <v>577</v>
      </c>
      <c r="E95" s="111" t="s">
        <v>600</v>
      </c>
      <c r="F95" s="110" t="s">
        <v>601</v>
      </c>
      <c r="G95" s="112" t="s">
        <v>43</v>
      </c>
      <c r="H95" s="113">
        <v>5.0</v>
      </c>
      <c r="I95" s="114" t="s">
        <v>235</v>
      </c>
      <c r="J95" s="115"/>
      <c r="K95" s="115"/>
      <c r="L95" s="116" t="s">
        <v>32</v>
      </c>
      <c r="M95" s="115"/>
      <c r="N95" s="1"/>
      <c r="O95" s="1"/>
      <c r="P95" s="1"/>
      <c r="Q95" s="1"/>
      <c r="R95" s="1"/>
      <c r="S95" s="1"/>
      <c r="T95" s="1"/>
      <c r="U95" s="1"/>
      <c r="V95" s="1"/>
      <c r="W95" s="1"/>
      <c r="X95" s="1"/>
      <c r="Y95" s="1"/>
      <c r="Z95" s="1"/>
      <c r="AA95" s="1"/>
    </row>
    <row r="96" ht="21.75" customHeight="1">
      <c r="A96" s="118">
        <v>94.0</v>
      </c>
      <c r="B96" s="119" t="s">
        <v>602</v>
      </c>
      <c r="C96" s="121" t="s">
        <v>185</v>
      </c>
      <c r="D96" s="122" t="s">
        <v>67</v>
      </c>
      <c r="E96" s="123" t="s">
        <v>603</v>
      </c>
      <c r="F96" s="122" t="s">
        <v>604</v>
      </c>
      <c r="G96" s="112" t="s">
        <v>192</v>
      </c>
      <c r="H96" s="113">
        <v>8.0</v>
      </c>
      <c r="I96" s="114" t="s">
        <v>235</v>
      </c>
      <c r="J96" s="115" t="s">
        <v>76</v>
      </c>
      <c r="K96" s="115"/>
      <c r="L96" s="124" t="s">
        <v>46</v>
      </c>
      <c r="M96" s="115" t="s">
        <v>605</v>
      </c>
      <c r="N96" s="1"/>
      <c r="O96" s="1"/>
      <c r="P96" s="1"/>
      <c r="Q96" s="1"/>
      <c r="R96" s="1"/>
      <c r="S96" s="1"/>
      <c r="T96" s="1"/>
      <c r="U96" s="1"/>
      <c r="V96" s="1"/>
      <c r="W96" s="1"/>
      <c r="X96" s="1"/>
      <c r="Y96" s="1"/>
      <c r="Z96" s="1"/>
      <c r="AA96" s="1"/>
    </row>
    <row r="97" ht="14.25" customHeight="1">
      <c r="A97" s="118">
        <v>95.0</v>
      </c>
      <c r="B97" s="119" t="s">
        <v>606</v>
      </c>
      <c r="C97" s="64" t="s">
        <v>63</v>
      </c>
      <c r="D97" s="40" t="s">
        <v>232</v>
      </c>
      <c r="E97" s="43" t="s">
        <v>237</v>
      </c>
      <c r="F97" s="122" t="s">
        <v>607</v>
      </c>
      <c r="G97" s="112" t="s">
        <v>43</v>
      </c>
      <c r="H97" s="113">
        <v>5.0</v>
      </c>
      <c r="I97" s="114" t="s">
        <v>235</v>
      </c>
      <c r="J97" s="115" t="s">
        <v>76</v>
      </c>
      <c r="K97" s="115"/>
      <c r="L97" s="125" t="s">
        <v>31</v>
      </c>
      <c r="M97" s="115"/>
      <c r="N97" s="1"/>
      <c r="O97" s="1"/>
      <c r="P97" s="1"/>
      <c r="Q97" s="1"/>
      <c r="R97" s="1"/>
      <c r="S97" s="1"/>
      <c r="T97" s="1"/>
      <c r="U97" s="1"/>
      <c r="V97" s="1"/>
      <c r="W97" s="1"/>
      <c r="X97" s="1"/>
      <c r="Y97" s="1"/>
      <c r="Z97" s="1"/>
      <c r="AA97" s="1"/>
    </row>
    <row r="98" ht="14.25" customHeight="1">
      <c r="A98" s="118">
        <v>96.0</v>
      </c>
      <c r="B98" s="119" t="s">
        <v>608</v>
      </c>
      <c r="C98" s="64" t="s">
        <v>185</v>
      </c>
      <c r="D98" s="40" t="s">
        <v>249</v>
      </c>
      <c r="E98" s="123" t="s">
        <v>250</v>
      </c>
      <c r="F98" s="122" t="s">
        <v>609</v>
      </c>
      <c r="G98" s="112" t="s">
        <v>43</v>
      </c>
      <c r="H98" s="113">
        <v>5.0</v>
      </c>
      <c r="I98" s="114" t="s">
        <v>228</v>
      </c>
      <c r="J98" s="115" t="s">
        <v>76</v>
      </c>
      <c r="K98" s="115"/>
      <c r="L98" s="124" t="s">
        <v>46</v>
      </c>
      <c r="M98" s="115"/>
      <c r="N98" s="1"/>
      <c r="O98" s="1"/>
      <c r="P98" s="1"/>
      <c r="Q98" s="1"/>
      <c r="R98" s="1"/>
      <c r="S98" s="1"/>
      <c r="T98" s="1"/>
      <c r="U98" s="1"/>
      <c r="V98" s="1"/>
      <c r="W98" s="1"/>
      <c r="X98" s="1"/>
      <c r="Y98" s="1"/>
      <c r="Z98" s="1"/>
      <c r="AA98" s="1"/>
    </row>
    <row r="99" ht="14.25" customHeight="1">
      <c r="A99" s="118">
        <v>97.0</v>
      </c>
      <c r="B99" s="119" t="s">
        <v>610</v>
      </c>
      <c r="C99" s="64" t="s">
        <v>185</v>
      </c>
      <c r="D99" s="40" t="s">
        <v>249</v>
      </c>
      <c r="E99" s="123" t="s">
        <v>311</v>
      </c>
      <c r="F99" s="122" t="s">
        <v>611</v>
      </c>
      <c r="G99" s="112" t="s">
        <v>192</v>
      </c>
      <c r="H99" s="113">
        <v>8.0</v>
      </c>
      <c r="I99" s="114" t="s">
        <v>228</v>
      </c>
      <c r="J99" s="115" t="s">
        <v>76</v>
      </c>
      <c r="K99" s="115"/>
      <c r="L99" s="124" t="s">
        <v>46</v>
      </c>
      <c r="M99" s="115"/>
      <c r="N99" s="1"/>
      <c r="O99" s="1"/>
      <c r="P99" s="1"/>
      <c r="Q99" s="1"/>
      <c r="R99" s="1"/>
      <c r="S99" s="1"/>
      <c r="T99" s="1"/>
      <c r="U99" s="1"/>
      <c r="V99" s="1"/>
      <c r="W99" s="1"/>
      <c r="X99" s="1"/>
      <c r="Y99" s="1"/>
      <c r="Z99" s="1"/>
      <c r="AA99" s="1"/>
    </row>
    <row r="100" ht="14.25" customHeight="1">
      <c r="A100" s="118">
        <v>98.0</v>
      </c>
      <c r="B100" s="119" t="s">
        <v>612</v>
      </c>
      <c r="C100" s="64" t="s">
        <v>185</v>
      </c>
      <c r="D100" s="40" t="s">
        <v>249</v>
      </c>
      <c r="E100" s="43" t="s">
        <v>250</v>
      </c>
      <c r="F100" s="122" t="s">
        <v>613</v>
      </c>
      <c r="G100" s="112" t="s">
        <v>71</v>
      </c>
      <c r="H100" s="113">
        <v>3.0</v>
      </c>
      <c r="I100" s="114" t="s">
        <v>228</v>
      </c>
      <c r="J100" s="115" t="s">
        <v>76</v>
      </c>
      <c r="K100" s="115"/>
      <c r="L100" s="124" t="s">
        <v>46</v>
      </c>
      <c r="M100" s="115"/>
      <c r="N100" s="1"/>
      <c r="O100" s="1"/>
      <c r="P100" s="1"/>
      <c r="Q100" s="1"/>
      <c r="R100" s="1"/>
      <c r="S100" s="1"/>
      <c r="T100" s="1"/>
      <c r="U100" s="1"/>
      <c r="V100" s="1"/>
      <c r="W100" s="1"/>
      <c r="X100" s="1"/>
      <c r="Y100" s="1"/>
      <c r="Z100" s="1"/>
      <c r="AA100" s="1"/>
    </row>
    <row r="101" ht="14.25" customHeight="1">
      <c r="A101" s="107">
        <v>99.0</v>
      </c>
      <c r="B101" s="108" t="s">
        <v>614</v>
      </c>
      <c r="C101" s="120" t="s">
        <v>185</v>
      </c>
      <c r="D101" s="110" t="s">
        <v>249</v>
      </c>
      <c r="E101" s="111" t="s">
        <v>267</v>
      </c>
      <c r="F101" s="110" t="s">
        <v>615</v>
      </c>
      <c r="G101" s="112" t="s">
        <v>43</v>
      </c>
      <c r="H101" s="113">
        <v>5.0</v>
      </c>
      <c r="I101" s="114" t="s">
        <v>228</v>
      </c>
      <c r="J101" s="115" t="s">
        <v>76</v>
      </c>
      <c r="K101" s="115"/>
      <c r="L101" s="124" t="s">
        <v>46</v>
      </c>
      <c r="M101" s="115"/>
      <c r="N101" s="1"/>
      <c r="O101" s="1"/>
      <c r="P101" s="1"/>
      <c r="Q101" s="1"/>
      <c r="R101" s="1"/>
      <c r="S101" s="1"/>
      <c r="T101" s="1"/>
      <c r="U101" s="1"/>
      <c r="V101" s="1"/>
      <c r="W101" s="1"/>
      <c r="X101" s="1"/>
      <c r="Y101" s="1"/>
      <c r="Z101" s="1"/>
      <c r="AA101" s="1"/>
    </row>
    <row r="102" ht="14.25" customHeight="1">
      <c r="A102" s="107">
        <v>100.0</v>
      </c>
      <c r="B102" s="108" t="s">
        <v>616</v>
      </c>
      <c r="C102" s="120" t="s">
        <v>185</v>
      </c>
      <c r="D102" s="110" t="s">
        <v>249</v>
      </c>
      <c r="E102" s="111" t="s">
        <v>279</v>
      </c>
      <c r="F102" s="110" t="s">
        <v>617</v>
      </c>
      <c r="G102" s="112" t="s">
        <v>43</v>
      </c>
      <c r="H102" s="113">
        <v>5.0</v>
      </c>
      <c r="I102" s="114" t="s">
        <v>228</v>
      </c>
      <c r="J102" s="115" t="s">
        <v>76</v>
      </c>
      <c r="K102" s="115"/>
      <c r="L102" s="124" t="s">
        <v>46</v>
      </c>
      <c r="M102" s="115"/>
      <c r="N102" s="1"/>
      <c r="O102" s="1"/>
      <c r="P102" s="1"/>
      <c r="Q102" s="1"/>
      <c r="R102" s="1"/>
      <c r="S102" s="1"/>
      <c r="T102" s="1"/>
      <c r="U102" s="1"/>
      <c r="V102" s="1"/>
      <c r="W102" s="1"/>
      <c r="X102" s="1"/>
      <c r="Y102" s="1"/>
      <c r="Z102" s="1"/>
      <c r="AA102" s="1"/>
    </row>
    <row r="103" ht="14.25" customHeight="1">
      <c r="A103" s="107">
        <v>101.0</v>
      </c>
      <c r="B103" s="108" t="s">
        <v>618</v>
      </c>
      <c r="C103" s="120" t="s">
        <v>185</v>
      </c>
      <c r="D103" s="110" t="s">
        <v>249</v>
      </c>
      <c r="E103" s="111" t="s">
        <v>264</v>
      </c>
      <c r="F103" s="110" t="s">
        <v>619</v>
      </c>
      <c r="G103" s="112" t="s">
        <v>71</v>
      </c>
      <c r="H103" s="113">
        <v>3.0</v>
      </c>
      <c r="I103" s="114" t="s">
        <v>228</v>
      </c>
      <c r="J103" s="115" t="s">
        <v>76</v>
      </c>
      <c r="K103" s="115"/>
      <c r="L103" s="124" t="s">
        <v>46</v>
      </c>
      <c r="M103" s="115"/>
      <c r="N103" s="1"/>
      <c r="O103" s="1"/>
      <c r="P103" s="1"/>
      <c r="Q103" s="1"/>
      <c r="R103" s="1"/>
      <c r="S103" s="1"/>
      <c r="T103" s="1"/>
      <c r="U103" s="1"/>
      <c r="V103" s="1"/>
      <c r="W103" s="1"/>
      <c r="X103" s="1"/>
      <c r="Y103" s="1"/>
      <c r="Z103" s="1"/>
      <c r="AA103" s="1"/>
    </row>
    <row r="104" ht="14.25" customHeight="1">
      <c r="A104" s="107">
        <v>102.0</v>
      </c>
      <c r="B104" s="108" t="s">
        <v>620</v>
      </c>
      <c r="C104" s="120" t="s">
        <v>185</v>
      </c>
      <c r="D104" s="110" t="s">
        <v>325</v>
      </c>
      <c r="E104" s="111" t="s">
        <v>333</v>
      </c>
      <c r="F104" s="110" t="s">
        <v>621</v>
      </c>
      <c r="G104" s="112" t="s">
        <v>43</v>
      </c>
      <c r="H104" s="113">
        <v>5.0</v>
      </c>
      <c r="I104" s="114" t="s">
        <v>228</v>
      </c>
      <c r="J104" s="115"/>
      <c r="K104" s="115"/>
      <c r="L104" s="124" t="s">
        <v>46</v>
      </c>
      <c r="M104" s="115"/>
      <c r="N104" s="1"/>
      <c r="O104" s="1"/>
      <c r="P104" s="1"/>
      <c r="Q104" s="1"/>
      <c r="R104" s="1"/>
      <c r="S104" s="1"/>
      <c r="T104" s="1"/>
      <c r="U104" s="1"/>
      <c r="V104" s="1"/>
      <c r="W104" s="1"/>
      <c r="X104" s="1"/>
      <c r="Y104" s="1"/>
      <c r="Z104" s="1"/>
      <c r="AA104" s="1"/>
    </row>
    <row r="105" ht="14.25" customHeight="1">
      <c r="A105" s="107">
        <v>103.0</v>
      </c>
      <c r="B105" s="108" t="s">
        <v>622</v>
      </c>
      <c r="C105" s="120" t="s">
        <v>185</v>
      </c>
      <c r="D105" s="110" t="s">
        <v>325</v>
      </c>
      <c r="E105" s="111" t="s">
        <v>868</v>
      </c>
      <c r="F105" s="110" t="s">
        <v>623</v>
      </c>
      <c r="G105" s="112" t="s">
        <v>192</v>
      </c>
      <c r="H105" s="113">
        <v>8.0</v>
      </c>
      <c r="I105" s="114" t="s">
        <v>228</v>
      </c>
      <c r="J105" s="115"/>
      <c r="K105" s="115"/>
      <c r="L105" s="124" t="s">
        <v>46</v>
      </c>
      <c r="M105" s="115"/>
      <c r="N105" s="1"/>
      <c r="O105" s="1"/>
      <c r="P105" s="1"/>
      <c r="Q105" s="1"/>
      <c r="R105" s="1"/>
      <c r="S105" s="1"/>
      <c r="T105" s="1"/>
      <c r="U105" s="1"/>
      <c r="V105" s="1"/>
      <c r="W105" s="1"/>
      <c r="X105" s="1"/>
      <c r="Y105" s="1"/>
      <c r="Z105" s="1"/>
      <c r="AA105" s="1"/>
    </row>
    <row r="106" ht="14.25" customHeight="1">
      <c r="A106" s="107">
        <v>104.0</v>
      </c>
      <c r="B106" s="108" t="s">
        <v>624</v>
      </c>
      <c r="C106" s="120" t="s">
        <v>185</v>
      </c>
      <c r="D106" s="110" t="s">
        <v>67</v>
      </c>
      <c r="E106" s="111" t="s">
        <v>135</v>
      </c>
      <c r="F106" s="110" t="s">
        <v>625</v>
      </c>
      <c r="G106" s="112" t="s">
        <v>43</v>
      </c>
      <c r="H106" s="113">
        <v>5.0</v>
      </c>
      <c r="I106" s="114" t="s">
        <v>73</v>
      </c>
      <c r="J106" s="115" t="s">
        <v>76</v>
      </c>
      <c r="K106" s="115"/>
      <c r="L106" s="124" t="s">
        <v>46</v>
      </c>
      <c r="M106" s="115"/>
      <c r="N106" s="1"/>
      <c r="O106" s="1"/>
      <c r="P106" s="1"/>
      <c r="Q106" s="1"/>
      <c r="R106" s="1"/>
      <c r="S106" s="1"/>
      <c r="T106" s="1"/>
      <c r="U106" s="1"/>
      <c r="V106" s="1"/>
      <c r="W106" s="1"/>
      <c r="X106" s="1"/>
      <c r="Y106" s="1"/>
      <c r="Z106" s="1"/>
      <c r="AA106" s="1"/>
    </row>
    <row r="107" ht="14.25" customHeight="1">
      <c r="A107" s="107">
        <v>105.0</v>
      </c>
      <c r="B107" s="108" t="s">
        <v>626</v>
      </c>
      <c r="C107" s="120" t="s">
        <v>185</v>
      </c>
      <c r="D107" s="110" t="s">
        <v>232</v>
      </c>
      <c r="E107" s="111" t="s">
        <v>233</v>
      </c>
      <c r="F107" s="110" t="s">
        <v>627</v>
      </c>
      <c r="G107" s="112" t="s">
        <v>71</v>
      </c>
      <c r="H107" s="113">
        <v>3.0</v>
      </c>
      <c r="I107" s="114" t="s">
        <v>73</v>
      </c>
      <c r="J107" s="115" t="s">
        <v>76</v>
      </c>
      <c r="K107" s="115"/>
      <c r="L107" s="124" t="s">
        <v>46</v>
      </c>
      <c r="M107" s="115"/>
      <c r="N107" s="1"/>
      <c r="O107" s="1"/>
      <c r="P107" s="1"/>
      <c r="Q107" s="1"/>
      <c r="R107" s="1"/>
      <c r="S107" s="1"/>
      <c r="T107" s="1"/>
      <c r="U107" s="1"/>
      <c r="V107" s="1"/>
      <c r="W107" s="1"/>
      <c r="X107" s="1"/>
      <c r="Y107" s="1"/>
      <c r="Z107" s="1"/>
      <c r="AA107" s="1"/>
    </row>
    <row r="108" ht="14.25" customHeight="1">
      <c r="A108" s="107">
        <v>106.0</v>
      </c>
      <c r="B108" s="108" t="s">
        <v>628</v>
      </c>
      <c r="C108" s="120" t="s">
        <v>185</v>
      </c>
      <c r="D108" s="110" t="s">
        <v>232</v>
      </c>
      <c r="E108" s="111" t="s">
        <v>233</v>
      </c>
      <c r="F108" s="110" t="s">
        <v>629</v>
      </c>
      <c r="G108" s="112" t="s">
        <v>43</v>
      </c>
      <c r="H108" s="113">
        <v>5.0</v>
      </c>
      <c r="I108" s="114" t="s">
        <v>73</v>
      </c>
      <c r="J108" s="115" t="s">
        <v>76</v>
      </c>
      <c r="K108" s="115"/>
      <c r="L108" s="124" t="s">
        <v>46</v>
      </c>
      <c r="M108" s="115"/>
      <c r="N108" s="1"/>
      <c r="O108" s="1"/>
      <c r="P108" s="1"/>
      <c r="Q108" s="1"/>
      <c r="R108" s="1"/>
      <c r="S108" s="1"/>
      <c r="T108" s="1"/>
      <c r="U108" s="1"/>
      <c r="V108" s="1"/>
      <c r="W108" s="1"/>
      <c r="X108" s="1"/>
      <c r="Y108" s="1"/>
      <c r="Z108" s="1"/>
      <c r="AA108" s="1"/>
    </row>
    <row r="109" ht="14.25" customHeight="1">
      <c r="A109" s="107">
        <v>107.0</v>
      </c>
      <c r="B109" s="108" t="s">
        <v>630</v>
      </c>
      <c r="C109" s="120" t="s">
        <v>185</v>
      </c>
      <c r="D109" s="110" t="s">
        <v>408</v>
      </c>
      <c r="E109" s="111" t="s">
        <v>440</v>
      </c>
      <c r="F109" s="110" t="s">
        <v>631</v>
      </c>
      <c r="G109" s="112" t="s">
        <v>192</v>
      </c>
      <c r="H109" s="113">
        <v>8.0</v>
      </c>
      <c r="I109" s="114" t="s">
        <v>235</v>
      </c>
      <c r="J109" s="115"/>
      <c r="K109" s="115"/>
      <c r="L109" s="116" t="s">
        <v>32</v>
      </c>
      <c r="M109" s="115"/>
      <c r="N109" s="1"/>
      <c r="O109" s="1"/>
      <c r="P109" s="1"/>
      <c r="Q109" s="1"/>
      <c r="R109" s="1"/>
      <c r="S109" s="1"/>
      <c r="T109" s="1"/>
      <c r="U109" s="1"/>
      <c r="V109" s="1"/>
      <c r="W109" s="1"/>
      <c r="X109" s="1"/>
      <c r="Y109" s="1"/>
      <c r="Z109" s="1"/>
      <c r="AA109" s="1"/>
    </row>
    <row r="110" ht="14.25" customHeight="1">
      <c r="A110" s="107">
        <v>108.0</v>
      </c>
      <c r="B110" s="108" t="s">
        <v>632</v>
      </c>
      <c r="C110" s="120" t="s">
        <v>185</v>
      </c>
      <c r="D110" s="110" t="s">
        <v>408</v>
      </c>
      <c r="E110" s="111" t="s">
        <v>410</v>
      </c>
      <c r="F110" s="110" t="s">
        <v>633</v>
      </c>
      <c r="G110" s="112" t="s">
        <v>192</v>
      </c>
      <c r="H110" s="113">
        <v>8.0</v>
      </c>
      <c r="I110" s="114" t="s">
        <v>228</v>
      </c>
      <c r="J110" s="115" t="s">
        <v>76</v>
      </c>
      <c r="K110" s="115"/>
      <c r="L110" s="125" t="s">
        <v>31</v>
      </c>
      <c r="M110" s="115"/>
      <c r="N110" s="1"/>
      <c r="O110" s="1"/>
      <c r="P110" s="1"/>
      <c r="Q110" s="1"/>
      <c r="R110" s="1"/>
      <c r="S110" s="1"/>
      <c r="T110" s="1"/>
      <c r="U110" s="1"/>
      <c r="V110" s="1"/>
      <c r="W110" s="1"/>
      <c r="X110" s="1"/>
      <c r="Y110" s="1"/>
      <c r="Z110" s="1"/>
      <c r="AA110" s="1"/>
    </row>
    <row r="111" ht="14.25" customHeight="1">
      <c r="A111" s="107">
        <v>109.0</v>
      </c>
      <c r="B111" s="108" t="s">
        <v>634</v>
      </c>
      <c r="C111" s="120" t="s">
        <v>185</v>
      </c>
      <c r="D111" s="110" t="s">
        <v>524</v>
      </c>
      <c r="E111" s="111" t="s">
        <v>525</v>
      </c>
      <c r="F111" s="110" t="s">
        <v>635</v>
      </c>
      <c r="G111" s="112" t="s">
        <v>43</v>
      </c>
      <c r="H111" s="113">
        <v>5.0</v>
      </c>
      <c r="I111" s="114" t="s">
        <v>73</v>
      </c>
      <c r="J111" s="115" t="s">
        <v>527</v>
      </c>
      <c r="K111" s="115"/>
      <c r="L111" s="124" t="s">
        <v>46</v>
      </c>
      <c r="M111" s="115"/>
      <c r="N111" s="1"/>
      <c r="O111" s="1"/>
      <c r="P111" s="1"/>
      <c r="Q111" s="1"/>
      <c r="R111" s="1"/>
      <c r="S111" s="1"/>
      <c r="T111" s="1"/>
      <c r="U111" s="1"/>
      <c r="V111" s="1"/>
      <c r="W111" s="1"/>
      <c r="X111" s="1"/>
      <c r="Y111" s="1"/>
      <c r="Z111" s="1"/>
      <c r="AA111" s="1"/>
    </row>
    <row r="112" ht="14.25" customHeight="1">
      <c r="A112" s="107">
        <v>110.0</v>
      </c>
      <c r="B112" s="108" t="s">
        <v>636</v>
      </c>
      <c r="C112" s="120" t="s">
        <v>185</v>
      </c>
      <c r="D112" s="110" t="s">
        <v>524</v>
      </c>
      <c r="E112" s="111" t="s">
        <v>560</v>
      </c>
      <c r="F112" s="110" t="s">
        <v>637</v>
      </c>
      <c r="G112" s="112" t="s">
        <v>71</v>
      </c>
      <c r="H112" s="113">
        <v>3.0</v>
      </c>
      <c r="I112" s="114" t="s">
        <v>73</v>
      </c>
      <c r="J112" s="115" t="s">
        <v>527</v>
      </c>
      <c r="K112" s="115"/>
      <c r="L112" s="124" t="s">
        <v>46</v>
      </c>
      <c r="M112" s="115"/>
      <c r="N112" s="1"/>
      <c r="O112" s="1"/>
      <c r="P112" s="1"/>
      <c r="Q112" s="1"/>
      <c r="R112" s="1"/>
      <c r="S112" s="1"/>
      <c r="T112" s="1"/>
      <c r="U112" s="1"/>
      <c r="V112" s="1"/>
      <c r="W112" s="1"/>
      <c r="X112" s="1"/>
      <c r="Y112" s="1"/>
      <c r="Z112" s="1"/>
      <c r="AA112" s="1"/>
    </row>
    <row r="113" ht="14.25" customHeight="1">
      <c r="A113" s="107">
        <v>111.0</v>
      </c>
      <c r="B113" s="108" t="s">
        <v>638</v>
      </c>
      <c r="C113" s="120" t="s">
        <v>185</v>
      </c>
      <c r="D113" s="110" t="s">
        <v>67</v>
      </c>
      <c r="E113" s="111" t="s">
        <v>135</v>
      </c>
      <c r="F113" s="110" t="s">
        <v>639</v>
      </c>
      <c r="G113" s="112" t="s">
        <v>71</v>
      </c>
      <c r="H113" s="113">
        <v>3.0</v>
      </c>
      <c r="I113" s="114" t="s">
        <v>73</v>
      </c>
      <c r="J113" s="115" t="s">
        <v>76</v>
      </c>
      <c r="K113" s="115"/>
      <c r="L113" s="124" t="s">
        <v>46</v>
      </c>
      <c r="M113" s="115"/>
      <c r="N113" s="1"/>
      <c r="O113" s="1"/>
      <c r="P113" s="1"/>
      <c r="Q113" s="1"/>
      <c r="R113" s="1"/>
      <c r="S113" s="1"/>
      <c r="T113" s="1"/>
      <c r="U113" s="1"/>
      <c r="V113" s="1"/>
      <c r="W113" s="1"/>
      <c r="X113" s="1"/>
      <c r="Y113" s="1"/>
      <c r="Z113" s="1"/>
      <c r="AA113" s="1"/>
    </row>
    <row r="114" ht="14.25" customHeight="1">
      <c r="A114" s="107">
        <v>112.0</v>
      </c>
      <c r="B114" s="108" t="s">
        <v>640</v>
      </c>
      <c r="C114" s="120" t="s">
        <v>185</v>
      </c>
      <c r="D114" s="110" t="s">
        <v>577</v>
      </c>
      <c r="E114" s="111" t="s">
        <v>588</v>
      </c>
      <c r="F114" s="110" t="s">
        <v>641</v>
      </c>
      <c r="G114" s="112" t="s">
        <v>43</v>
      </c>
      <c r="H114" s="113">
        <v>5.0</v>
      </c>
      <c r="I114" s="114" t="s">
        <v>235</v>
      </c>
      <c r="J114" s="115"/>
      <c r="K114" s="115"/>
      <c r="L114" s="116" t="s">
        <v>32</v>
      </c>
      <c r="M114" s="115"/>
      <c r="N114" s="1"/>
      <c r="O114" s="1"/>
      <c r="P114" s="1"/>
      <c r="Q114" s="1"/>
      <c r="R114" s="1"/>
      <c r="S114" s="1"/>
      <c r="T114" s="1"/>
      <c r="U114" s="1"/>
      <c r="V114" s="1"/>
      <c r="W114" s="1"/>
      <c r="X114" s="1"/>
      <c r="Y114" s="1"/>
      <c r="Z114" s="1"/>
      <c r="AA114" s="1"/>
    </row>
    <row r="115" ht="14.25" customHeight="1">
      <c r="A115" s="107">
        <v>113.0</v>
      </c>
      <c r="B115" s="108" t="s">
        <v>642</v>
      </c>
      <c r="C115" s="120" t="s">
        <v>185</v>
      </c>
      <c r="D115" s="110" t="s">
        <v>577</v>
      </c>
      <c r="E115" s="111" t="s">
        <v>578</v>
      </c>
      <c r="F115" s="110" t="s">
        <v>643</v>
      </c>
      <c r="G115" s="112" t="s">
        <v>43</v>
      </c>
      <c r="H115" s="113">
        <v>5.0</v>
      </c>
      <c r="I115" s="114" t="s">
        <v>235</v>
      </c>
      <c r="J115" s="115"/>
      <c r="K115" s="115"/>
      <c r="L115" s="116" t="s">
        <v>32</v>
      </c>
      <c r="M115" s="115"/>
      <c r="N115" s="1"/>
      <c r="O115" s="1"/>
      <c r="P115" s="1"/>
      <c r="Q115" s="1"/>
      <c r="R115" s="1"/>
      <c r="S115" s="1"/>
      <c r="T115" s="1"/>
      <c r="U115" s="1"/>
      <c r="V115" s="1"/>
      <c r="W115" s="1"/>
      <c r="X115" s="1"/>
      <c r="Y115" s="1"/>
      <c r="Z115" s="1"/>
      <c r="AA115" s="1"/>
    </row>
    <row r="116" ht="14.25" customHeight="1">
      <c r="A116" s="107">
        <v>114.0</v>
      </c>
      <c r="B116" s="108" t="s">
        <v>644</v>
      </c>
      <c r="C116" s="120" t="s">
        <v>185</v>
      </c>
      <c r="D116" s="110" t="s">
        <v>645</v>
      </c>
      <c r="E116" s="111" t="s">
        <v>646</v>
      </c>
      <c r="F116" s="110" t="s">
        <v>647</v>
      </c>
      <c r="G116" s="112" t="s">
        <v>192</v>
      </c>
      <c r="H116" s="113">
        <v>8.0</v>
      </c>
      <c r="I116" s="114" t="s">
        <v>228</v>
      </c>
      <c r="J116" s="115" t="s">
        <v>648</v>
      </c>
      <c r="K116" s="115" t="s">
        <v>649</v>
      </c>
      <c r="L116" s="124" t="s">
        <v>46</v>
      </c>
      <c r="M116" s="115"/>
      <c r="N116" s="1"/>
      <c r="O116" s="1"/>
      <c r="P116" s="1"/>
      <c r="Q116" s="1"/>
      <c r="R116" s="1"/>
      <c r="S116" s="1"/>
      <c r="T116" s="1"/>
      <c r="U116" s="1"/>
      <c r="V116" s="1"/>
      <c r="W116" s="1"/>
      <c r="X116" s="1"/>
      <c r="Y116" s="1"/>
      <c r="Z116" s="1"/>
      <c r="AA116" s="1"/>
    </row>
    <row r="117" ht="14.25" customHeight="1">
      <c r="A117" s="107">
        <v>115.0</v>
      </c>
      <c r="B117" s="108" t="s">
        <v>650</v>
      </c>
      <c r="C117" s="120" t="s">
        <v>185</v>
      </c>
      <c r="D117" s="110" t="s">
        <v>645</v>
      </c>
      <c r="E117" s="111" t="s">
        <v>364</v>
      </c>
      <c r="F117" s="110" t="s">
        <v>651</v>
      </c>
      <c r="G117" s="112" t="s">
        <v>192</v>
      </c>
      <c r="H117" s="113">
        <v>8.0</v>
      </c>
      <c r="I117" s="114" t="s">
        <v>228</v>
      </c>
      <c r="J117" s="115" t="s">
        <v>648</v>
      </c>
      <c r="K117" s="115" t="s">
        <v>649</v>
      </c>
      <c r="L117" s="124" t="s">
        <v>46</v>
      </c>
      <c r="M117" s="115"/>
      <c r="N117" s="1"/>
      <c r="O117" s="1"/>
      <c r="P117" s="1"/>
      <c r="Q117" s="1"/>
      <c r="R117" s="1"/>
      <c r="S117" s="1"/>
      <c r="T117" s="1"/>
      <c r="U117" s="1"/>
      <c r="V117" s="1"/>
      <c r="W117" s="1"/>
      <c r="X117" s="1"/>
      <c r="Y117" s="1"/>
      <c r="Z117" s="1"/>
      <c r="AA117" s="1"/>
    </row>
    <row r="118" ht="14.25" customHeight="1">
      <c r="A118" s="107">
        <v>116.0</v>
      </c>
      <c r="B118" s="108" t="s">
        <v>652</v>
      </c>
      <c r="C118" s="120" t="s">
        <v>185</v>
      </c>
      <c r="D118" s="110" t="s">
        <v>645</v>
      </c>
      <c r="E118" s="111" t="s">
        <v>646</v>
      </c>
      <c r="F118" s="110" t="s">
        <v>653</v>
      </c>
      <c r="G118" s="112" t="s">
        <v>192</v>
      </c>
      <c r="H118" s="113">
        <v>8.0</v>
      </c>
      <c r="I118" s="114" t="s">
        <v>228</v>
      </c>
      <c r="J118" s="115" t="s">
        <v>648</v>
      </c>
      <c r="K118" s="115" t="s">
        <v>649</v>
      </c>
      <c r="L118" s="124" t="s">
        <v>46</v>
      </c>
      <c r="M118" s="115"/>
      <c r="N118" s="1"/>
      <c r="O118" s="1"/>
      <c r="P118" s="1"/>
      <c r="Q118" s="1"/>
      <c r="R118" s="1"/>
      <c r="S118" s="1"/>
      <c r="T118" s="1"/>
      <c r="U118" s="1"/>
      <c r="V118" s="1"/>
      <c r="W118" s="1"/>
      <c r="X118" s="1"/>
      <c r="Y118" s="1"/>
      <c r="Z118" s="1"/>
      <c r="AA118" s="1"/>
    </row>
    <row r="119" ht="14.25" customHeight="1">
      <c r="A119" s="107">
        <v>117.0</v>
      </c>
      <c r="B119" s="108" t="s">
        <v>654</v>
      </c>
      <c r="C119" s="120" t="s">
        <v>185</v>
      </c>
      <c r="D119" s="110" t="s">
        <v>645</v>
      </c>
      <c r="E119" s="111" t="s">
        <v>646</v>
      </c>
      <c r="F119" s="110" t="s">
        <v>655</v>
      </c>
      <c r="G119" s="112" t="s">
        <v>192</v>
      </c>
      <c r="H119" s="113">
        <v>8.0</v>
      </c>
      <c r="I119" s="114" t="s">
        <v>228</v>
      </c>
      <c r="J119" s="115" t="s">
        <v>648</v>
      </c>
      <c r="K119" s="115" t="s">
        <v>649</v>
      </c>
      <c r="L119" s="124" t="s">
        <v>46</v>
      </c>
      <c r="M119" s="115"/>
      <c r="N119" s="1"/>
      <c r="O119" s="1"/>
      <c r="P119" s="1"/>
      <c r="Q119" s="1"/>
      <c r="R119" s="1"/>
      <c r="S119" s="1"/>
      <c r="T119" s="1"/>
      <c r="U119" s="1"/>
      <c r="V119" s="1"/>
      <c r="W119" s="1"/>
      <c r="X119" s="1"/>
      <c r="Y119" s="1"/>
      <c r="Z119" s="1"/>
      <c r="AA119" s="1"/>
    </row>
    <row r="120" ht="21.75" customHeight="1">
      <c r="A120" s="118">
        <v>118.0</v>
      </c>
      <c r="B120" s="119" t="s">
        <v>855</v>
      </c>
      <c r="C120" s="121" t="s">
        <v>185</v>
      </c>
      <c r="D120" s="122" t="s">
        <v>67</v>
      </c>
      <c r="E120" s="123" t="s">
        <v>856</v>
      </c>
      <c r="F120" s="122" t="s">
        <v>857</v>
      </c>
      <c r="G120" s="112" t="s">
        <v>192</v>
      </c>
      <c r="H120" s="113">
        <v>8.0</v>
      </c>
      <c r="I120" s="114" t="s">
        <v>235</v>
      </c>
      <c r="J120" s="115" t="s">
        <v>76</v>
      </c>
      <c r="K120" s="115"/>
      <c r="L120" s="124" t="s">
        <v>46</v>
      </c>
      <c r="M120" s="115" t="s">
        <v>858</v>
      </c>
      <c r="N120" s="1"/>
      <c r="O120" s="1"/>
      <c r="P120" s="1"/>
      <c r="Q120" s="1"/>
      <c r="R120" s="1"/>
      <c r="S120" s="1"/>
      <c r="T120" s="1"/>
      <c r="U120" s="1"/>
      <c r="V120" s="1"/>
      <c r="W120" s="1"/>
      <c r="X120" s="1"/>
      <c r="Y120" s="1"/>
      <c r="Z120" s="1"/>
      <c r="AA120" s="1"/>
    </row>
    <row r="121" ht="14.25" customHeight="1">
      <c r="A121" s="1"/>
      <c r="B121" s="126" t="s">
        <v>656</v>
      </c>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ht="14.25" customHeight="1">
      <c r="A122" s="127"/>
      <c r="B122" s="128" t="s">
        <v>210</v>
      </c>
      <c r="C122" s="128" t="s">
        <v>213</v>
      </c>
      <c r="D122" s="128" t="s">
        <v>56</v>
      </c>
      <c r="E122" s="128" t="s">
        <v>46</v>
      </c>
      <c r="F122" s="128" t="s">
        <v>31</v>
      </c>
      <c r="G122" s="1"/>
      <c r="H122" s="1"/>
      <c r="I122" s="1"/>
      <c r="J122" s="1"/>
      <c r="K122" s="1"/>
      <c r="L122" s="1"/>
      <c r="M122" s="1"/>
      <c r="N122" s="1"/>
      <c r="O122" s="1"/>
      <c r="P122" s="1"/>
      <c r="Q122" s="1"/>
      <c r="R122" s="1"/>
      <c r="S122" s="1"/>
      <c r="T122" s="1"/>
      <c r="U122" s="1"/>
      <c r="V122" s="1"/>
      <c r="W122" s="1"/>
      <c r="X122" s="1"/>
      <c r="Y122" s="1"/>
      <c r="Z122" s="1"/>
      <c r="AA122" s="1"/>
    </row>
    <row r="123" ht="14.25" customHeight="1">
      <c r="A123" s="129"/>
      <c r="B123" s="130" t="s">
        <v>73</v>
      </c>
      <c r="C123" s="131">
        <v>44.0</v>
      </c>
      <c r="D123" s="131">
        <v>160.0</v>
      </c>
      <c r="E123" s="131">
        <v>38.0</v>
      </c>
      <c r="F123" s="132">
        <v>2.0</v>
      </c>
      <c r="G123" s="1"/>
      <c r="H123" s="1"/>
      <c r="I123" s="1"/>
      <c r="J123" s="1"/>
      <c r="K123" s="1"/>
      <c r="L123" s="1"/>
      <c r="M123" s="1"/>
      <c r="N123" s="1"/>
      <c r="O123" s="1"/>
      <c r="P123" s="1"/>
      <c r="Q123" s="1"/>
      <c r="R123" s="1"/>
      <c r="S123" s="1"/>
      <c r="T123" s="1"/>
      <c r="U123" s="1"/>
      <c r="V123" s="1"/>
      <c r="W123" s="1"/>
      <c r="X123" s="1"/>
      <c r="Y123" s="1"/>
      <c r="Z123" s="1"/>
      <c r="AA123" s="1"/>
    </row>
    <row r="124" ht="14.25" customHeight="1">
      <c r="A124" s="133"/>
      <c r="B124" s="134" t="s">
        <v>228</v>
      </c>
      <c r="C124" s="135">
        <v>46.0</v>
      </c>
      <c r="D124" s="135">
        <v>256.0</v>
      </c>
      <c r="E124" s="136">
        <v>25.0</v>
      </c>
      <c r="F124" s="136">
        <v>4.0</v>
      </c>
      <c r="G124" s="1"/>
      <c r="H124" s="1"/>
      <c r="I124" s="1"/>
      <c r="J124" s="1"/>
      <c r="K124" s="1"/>
      <c r="L124" s="1"/>
      <c r="M124" s="1"/>
      <c r="N124" s="1"/>
      <c r="O124" s="1"/>
      <c r="P124" s="1"/>
      <c r="Q124" s="1"/>
      <c r="R124" s="1"/>
      <c r="S124" s="1"/>
      <c r="T124" s="1"/>
      <c r="U124" s="1"/>
      <c r="V124" s="1"/>
      <c r="W124" s="1"/>
      <c r="X124" s="1"/>
      <c r="Y124" s="1"/>
      <c r="Z124" s="1"/>
      <c r="AA124" s="1"/>
    </row>
    <row r="125" ht="14.25" customHeight="1">
      <c r="A125" s="129"/>
      <c r="B125" s="130" t="s">
        <v>235</v>
      </c>
      <c r="C125" s="131">
        <v>25.0</v>
      </c>
      <c r="D125" s="131">
        <v>124.0</v>
      </c>
      <c r="E125" s="132">
        <v>8.0</v>
      </c>
      <c r="F125" s="132">
        <v>1.0</v>
      </c>
      <c r="G125" s="1"/>
      <c r="H125" s="1"/>
      <c r="I125" s="1"/>
      <c r="J125" s="1"/>
      <c r="K125" s="1"/>
      <c r="L125" s="1"/>
      <c r="M125" s="1"/>
      <c r="N125" s="1"/>
      <c r="O125" s="1"/>
      <c r="P125" s="1"/>
      <c r="Q125" s="1"/>
      <c r="R125" s="1"/>
      <c r="S125" s="1"/>
      <c r="T125" s="1"/>
      <c r="U125" s="1"/>
      <c r="V125" s="1"/>
      <c r="W125" s="1"/>
      <c r="X125" s="1"/>
      <c r="Y125" s="1"/>
      <c r="Z125" s="1"/>
      <c r="AA125" s="1"/>
    </row>
    <row r="126" ht="14.25" customHeight="1">
      <c r="A126" s="137"/>
      <c r="B126" s="138" t="s">
        <v>518</v>
      </c>
      <c r="C126" s="139">
        <v>115.0</v>
      </c>
      <c r="D126" s="139">
        <v>540.0</v>
      </c>
      <c r="E126" s="139">
        <v>71.0</v>
      </c>
      <c r="F126" s="139">
        <v>7.0</v>
      </c>
      <c r="G126" s="1"/>
      <c r="H126" s="1"/>
      <c r="I126" s="1"/>
      <c r="J126" s="1"/>
      <c r="K126" s="1"/>
      <c r="L126" s="1"/>
      <c r="M126" s="1"/>
      <c r="N126" s="1"/>
      <c r="O126" s="1"/>
      <c r="P126" s="1"/>
      <c r="Q126" s="1"/>
      <c r="R126" s="1"/>
      <c r="S126" s="1"/>
      <c r="T126" s="1"/>
      <c r="U126" s="1"/>
      <c r="V126" s="1"/>
      <c r="W126" s="1"/>
      <c r="X126" s="1"/>
      <c r="Y126" s="1"/>
      <c r="Z126" s="1"/>
      <c r="AA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sheetData>
  <conditionalFormatting sqref="L3:L98">
    <cfRule type="cellIs" dxfId="0" priority="1" operator="equal">
      <formula>"Done"</formula>
    </cfRule>
  </conditionalFormatting>
  <conditionalFormatting sqref="L3:L98">
    <cfRule type="cellIs" dxfId="0" priority="2" operator="equal">
      <formula>"Completed"</formula>
    </cfRule>
  </conditionalFormatting>
  <conditionalFormatting sqref="L3:L98">
    <cfRule type="cellIs" dxfId="0" priority="3" operator="equal">
      <formula>"Closed"</formula>
    </cfRule>
  </conditionalFormatting>
  <conditionalFormatting sqref="L3:L98">
    <cfRule type="cellIs" dxfId="0" priority="4" operator="equal">
      <formula>"Fixed"</formula>
    </cfRule>
  </conditionalFormatting>
  <conditionalFormatting sqref="L3:L98">
    <cfRule type="cellIs" dxfId="0" priority="5" operator="equal">
      <formula>"Approved"</formula>
    </cfRule>
  </conditionalFormatting>
  <conditionalFormatting sqref="L3:L98">
    <cfRule type="cellIs" dxfId="1" priority="6" operator="equal">
      <formula>"In Progress"</formula>
    </cfRule>
  </conditionalFormatting>
  <conditionalFormatting sqref="L3:L98">
    <cfRule type="cellIs" dxfId="2" priority="7" operator="equal">
      <formula>"Open"</formula>
    </cfRule>
  </conditionalFormatting>
  <conditionalFormatting sqref="L3:L98">
    <cfRule type="cellIs" dxfId="1" priority="8" operator="equal">
      <formula>"Pending"</formula>
    </cfRule>
  </conditionalFormatting>
  <conditionalFormatting sqref="L3:L98">
    <cfRule type="cellIs" dxfId="2" priority="9" operator="equal">
      <formula>"Blocked"</formula>
    </cfRule>
  </conditionalFormatting>
  <conditionalFormatting sqref="L3:L98">
    <cfRule type="cellIs" dxfId="3" priority="10" operator="equal">
      <formula>"Cancelled"</formula>
    </cfRule>
  </conditionalFormatting>
  <conditionalFormatting sqref="L3:L98">
    <cfRule type="cellIs" dxfId="2" priority="11" operator="equal">
      <formula>"Rejected"</formula>
    </cfRule>
  </conditionalFormatting>
  <conditionalFormatting sqref="L3:L98">
    <cfRule type="cellIs" dxfId="4" priority="12" operator="equal">
      <formula>"Submitted"</formula>
    </cfRule>
  </conditionalFormatting>
  <dataValidations>
    <dataValidation type="list" allowBlank="1" sqref="I3:I120">
      <formula1>"Iteration 1,Iteration 2,Iteration 3"</formula1>
    </dataValidation>
    <dataValidation type="list" allowBlank="1" sqref="G3:G120">
      <formula1>"Simple,Medium,Complex"</formula1>
    </dataValidation>
    <dataValidation type="list" allowBlank="1" sqref="L3:L120">
      <formula1>"Not Started,In Progress,Done,Blocked,Cancelled"</formula1>
    </dataValidation>
    <dataValidation type="list" allowBlank="1" showErrorMessage="1" sqref="C3:C120">
      <formula1>"Non-UI,Screen"</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7.14"/>
    <col customWidth="1" min="2" max="2" width="12.0"/>
    <col customWidth="1" min="3" max="3" width="38.0"/>
    <col customWidth="1" min="4" max="5" width="14.0"/>
    <col customWidth="1" min="6" max="6" width="10.0"/>
    <col customWidth="1" min="7" max="7" width="12.0"/>
    <col customWidth="1" min="8" max="8" width="38.0"/>
    <col customWidth="1" min="9" max="10" width="14.0"/>
    <col customWidth="1" min="11" max="11" width="12.0"/>
    <col customWidth="1" min="12" max="12" width="20.0"/>
    <col customWidth="1" min="13" max="26" width="8.71"/>
  </cols>
  <sheetData>
    <row r="1" ht="14.25" customHeight="1">
      <c r="A1" s="5" t="s">
        <v>1</v>
      </c>
    </row>
    <row r="2" ht="14.25" customHeight="1">
      <c r="A2" s="6" t="s">
        <v>6</v>
      </c>
    </row>
    <row r="3" ht="14.25" customHeight="1"/>
    <row r="4" ht="14.25" customHeight="1">
      <c r="A4" s="9" t="s">
        <v>7</v>
      </c>
      <c r="B4" s="9" t="s">
        <v>14</v>
      </c>
      <c r="C4" s="9" t="s">
        <v>15</v>
      </c>
      <c r="D4" s="9" t="s">
        <v>17</v>
      </c>
      <c r="E4" s="9" t="s">
        <v>19</v>
      </c>
      <c r="F4" s="9" t="s">
        <v>21</v>
      </c>
      <c r="G4" s="9" t="s">
        <v>23</v>
      </c>
      <c r="H4" s="9" t="s">
        <v>26</v>
      </c>
      <c r="I4" s="9" t="s">
        <v>28</v>
      </c>
      <c r="J4" s="9" t="s">
        <v>29</v>
      </c>
      <c r="K4" s="9" t="s">
        <v>16</v>
      </c>
      <c r="L4" s="9" t="s">
        <v>24</v>
      </c>
    </row>
    <row r="5" ht="14.25" customHeight="1">
      <c r="A5" s="14" t="s">
        <v>34</v>
      </c>
      <c r="B5" s="17" t="s">
        <v>36</v>
      </c>
      <c r="C5" s="19" t="s">
        <v>38</v>
      </c>
      <c r="D5" s="21" t="s">
        <v>39</v>
      </c>
      <c r="E5" s="21" t="s">
        <v>42</v>
      </c>
      <c r="F5" s="23" t="s">
        <v>43</v>
      </c>
      <c r="G5" s="17" t="s">
        <v>44</v>
      </c>
      <c r="H5" s="21" t="s">
        <v>45</v>
      </c>
      <c r="I5" s="17"/>
      <c r="J5" s="17"/>
      <c r="K5" s="27" t="s">
        <v>47</v>
      </c>
      <c r="L5" s="21"/>
    </row>
    <row r="6" ht="14.25" customHeight="1">
      <c r="A6" s="14" t="s">
        <v>48</v>
      </c>
      <c r="B6" s="31"/>
      <c r="C6" s="31"/>
      <c r="D6" s="31"/>
      <c r="E6" s="31"/>
      <c r="F6" s="23" t="s">
        <v>43</v>
      </c>
      <c r="G6" s="31"/>
      <c r="H6" s="31"/>
      <c r="I6" s="31"/>
      <c r="J6" s="31"/>
      <c r="K6" s="35" t="s">
        <v>47</v>
      </c>
      <c r="L6" s="31"/>
    </row>
    <row r="7" ht="14.25" customHeight="1">
      <c r="A7" s="14" t="s">
        <v>64</v>
      </c>
      <c r="B7" s="39"/>
      <c r="C7" s="39"/>
      <c r="D7" s="39"/>
      <c r="E7" s="39"/>
      <c r="F7" s="23" t="s">
        <v>43</v>
      </c>
      <c r="G7" s="39"/>
      <c r="H7" s="39"/>
      <c r="I7" s="39"/>
      <c r="J7" s="39"/>
      <c r="K7" s="35" t="s">
        <v>47</v>
      </c>
      <c r="L7" s="39"/>
    </row>
    <row r="8" ht="14.25" customHeight="1">
      <c r="A8" s="14" t="s">
        <v>72</v>
      </c>
      <c r="B8" s="31"/>
      <c r="C8" s="31"/>
      <c r="D8" s="31"/>
      <c r="E8" s="31"/>
      <c r="F8" s="23" t="s">
        <v>43</v>
      </c>
      <c r="G8" s="31"/>
      <c r="H8" s="31"/>
      <c r="I8" s="31"/>
      <c r="J8" s="31"/>
      <c r="K8" s="35" t="s">
        <v>47</v>
      </c>
      <c r="L8" s="31"/>
    </row>
    <row r="9" ht="14.25" customHeight="1">
      <c r="A9" s="14" t="s">
        <v>77</v>
      </c>
      <c r="B9" s="39"/>
      <c r="C9" s="39"/>
      <c r="D9" s="39"/>
      <c r="E9" s="39"/>
      <c r="F9" s="23" t="s">
        <v>43</v>
      </c>
      <c r="G9" s="39"/>
      <c r="H9" s="39"/>
      <c r="I9" s="39"/>
      <c r="J9" s="39"/>
      <c r="K9" s="35" t="s">
        <v>47</v>
      </c>
      <c r="L9" s="39"/>
    </row>
    <row r="10" ht="14.25" customHeight="1">
      <c r="A10" s="14" t="s">
        <v>85</v>
      </c>
      <c r="B10" s="31"/>
      <c r="C10" s="31"/>
      <c r="D10" s="31"/>
      <c r="E10" s="31"/>
      <c r="F10" s="23" t="s">
        <v>43</v>
      </c>
      <c r="G10" s="31"/>
      <c r="H10" s="31"/>
      <c r="I10" s="31"/>
      <c r="J10" s="31"/>
      <c r="K10" s="35" t="s">
        <v>47</v>
      </c>
      <c r="L10" s="31"/>
    </row>
    <row r="11" ht="14.25" customHeight="1">
      <c r="A11" s="14" t="s">
        <v>89</v>
      </c>
      <c r="B11" s="39"/>
      <c r="C11" s="39"/>
      <c r="D11" s="39"/>
      <c r="E11" s="39"/>
      <c r="F11" s="23" t="s">
        <v>43</v>
      </c>
      <c r="G11" s="39"/>
      <c r="H11" s="39"/>
      <c r="I11" s="39"/>
      <c r="J11" s="39"/>
      <c r="K11" s="35" t="s">
        <v>47</v>
      </c>
      <c r="L11" s="39"/>
    </row>
    <row r="12" ht="14.25" customHeight="1">
      <c r="A12" s="14" t="s">
        <v>93</v>
      </c>
      <c r="B12" s="31"/>
      <c r="C12" s="31"/>
      <c r="D12" s="31"/>
      <c r="E12" s="31"/>
      <c r="F12" s="23" t="s">
        <v>43</v>
      </c>
      <c r="G12" s="31"/>
      <c r="H12" s="31"/>
      <c r="I12" s="31"/>
      <c r="J12" s="31"/>
      <c r="K12" s="35" t="s">
        <v>47</v>
      </c>
      <c r="L12" s="31"/>
    </row>
    <row r="13" ht="14.25" customHeight="1">
      <c r="A13" s="14" t="s">
        <v>96</v>
      </c>
      <c r="B13" s="39"/>
      <c r="C13" s="39"/>
      <c r="D13" s="39"/>
      <c r="E13" s="39"/>
      <c r="F13" s="23" t="s">
        <v>43</v>
      </c>
      <c r="G13" s="39"/>
      <c r="H13" s="39"/>
      <c r="I13" s="39"/>
      <c r="J13" s="39"/>
      <c r="K13" s="35" t="s">
        <v>47</v>
      </c>
      <c r="L13" s="39"/>
    </row>
    <row r="14" ht="14.25" customHeight="1">
      <c r="A14" s="14" t="s">
        <v>102</v>
      </c>
      <c r="B14" s="31"/>
      <c r="C14" s="31"/>
      <c r="D14" s="31"/>
      <c r="E14" s="31"/>
      <c r="F14" s="23" t="s">
        <v>43</v>
      </c>
      <c r="G14" s="31"/>
      <c r="H14" s="31"/>
      <c r="I14" s="31"/>
      <c r="J14" s="31"/>
      <c r="K14" s="35" t="s">
        <v>47</v>
      </c>
      <c r="L14" s="31"/>
    </row>
    <row r="15" ht="14.25" customHeight="1">
      <c r="A15" s="14" t="s">
        <v>108</v>
      </c>
      <c r="B15" s="39"/>
      <c r="C15" s="39"/>
      <c r="D15" s="39"/>
      <c r="E15" s="39"/>
      <c r="F15" s="23" t="s">
        <v>43</v>
      </c>
      <c r="G15" s="39"/>
      <c r="H15" s="39"/>
      <c r="I15" s="39"/>
      <c r="J15" s="39"/>
      <c r="K15" s="35" t="s">
        <v>47</v>
      </c>
      <c r="L15" s="39"/>
    </row>
    <row r="16" ht="14.25" customHeight="1">
      <c r="A16" s="14" t="s">
        <v>112</v>
      </c>
      <c r="B16" s="31"/>
      <c r="C16" s="31"/>
      <c r="D16" s="31"/>
      <c r="E16" s="31"/>
      <c r="F16" s="23" t="s">
        <v>43</v>
      </c>
      <c r="G16" s="31"/>
      <c r="H16" s="31"/>
      <c r="I16" s="31"/>
      <c r="J16" s="31"/>
      <c r="K16" s="35" t="s">
        <v>47</v>
      </c>
      <c r="L16" s="31"/>
    </row>
    <row r="17" ht="14.25" customHeight="1">
      <c r="A17" s="14" t="s">
        <v>123</v>
      </c>
      <c r="B17" s="39"/>
      <c r="C17" s="39"/>
      <c r="D17" s="39"/>
      <c r="E17" s="39"/>
      <c r="F17" s="23" t="s">
        <v>43</v>
      </c>
      <c r="G17" s="39"/>
      <c r="H17" s="39"/>
      <c r="I17" s="39"/>
      <c r="J17" s="39"/>
      <c r="K17" s="35" t="s">
        <v>47</v>
      </c>
      <c r="L17" s="39"/>
    </row>
    <row r="18" ht="14.25" customHeight="1">
      <c r="A18" s="14" t="s">
        <v>136</v>
      </c>
      <c r="B18" s="31"/>
      <c r="C18" s="31"/>
      <c r="D18" s="31"/>
      <c r="E18" s="31"/>
      <c r="F18" s="23" t="s">
        <v>43</v>
      </c>
      <c r="G18" s="31"/>
      <c r="H18" s="31"/>
      <c r="I18" s="31"/>
      <c r="J18" s="31"/>
      <c r="K18" s="35" t="s">
        <v>47</v>
      </c>
      <c r="L18" s="31"/>
    </row>
    <row r="19" ht="14.25" customHeight="1">
      <c r="A19" s="14" t="s">
        <v>152</v>
      </c>
      <c r="B19" s="39"/>
      <c r="C19" s="39"/>
      <c r="D19" s="39"/>
      <c r="E19" s="39"/>
      <c r="F19" s="23" t="s">
        <v>43</v>
      </c>
      <c r="G19" s="39"/>
      <c r="H19" s="39"/>
      <c r="I19" s="39"/>
      <c r="J19" s="39"/>
      <c r="K19" s="35" t="s">
        <v>47</v>
      </c>
      <c r="L19" s="39"/>
    </row>
    <row r="20" ht="14.25" customHeight="1">
      <c r="A20" s="14" t="s">
        <v>164</v>
      </c>
      <c r="B20" s="31"/>
      <c r="C20" s="31"/>
      <c r="D20" s="31"/>
      <c r="E20" s="31"/>
      <c r="F20" s="23" t="s">
        <v>43</v>
      </c>
      <c r="G20" s="31"/>
      <c r="H20" s="31"/>
      <c r="I20" s="31"/>
      <c r="J20" s="31"/>
      <c r="K20" s="35" t="s">
        <v>47</v>
      </c>
      <c r="L20" s="31"/>
    </row>
    <row r="21" ht="14.25" customHeight="1">
      <c r="A21" s="14" t="s">
        <v>177</v>
      </c>
      <c r="B21" s="39"/>
      <c r="C21" s="39"/>
      <c r="D21" s="39"/>
      <c r="E21" s="39"/>
      <c r="F21" s="23" t="s">
        <v>43</v>
      </c>
      <c r="G21" s="39"/>
      <c r="H21" s="39"/>
      <c r="I21" s="39"/>
      <c r="J21" s="39"/>
      <c r="K21" s="35" t="s">
        <v>47</v>
      </c>
      <c r="L21" s="39"/>
    </row>
    <row r="22" ht="14.25" customHeight="1">
      <c r="A22" s="14" t="s">
        <v>193</v>
      </c>
      <c r="B22" s="31"/>
      <c r="C22" s="31"/>
      <c r="D22" s="31"/>
      <c r="E22" s="31"/>
      <c r="F22" s="23" t="s">
        <v>43</v>
      </c>
      <c r="G22" s="31"/>
      <c r="H22" s="31"/>
      <c r="I22" s="31"/>
      <c r="J22" s="31"/>
      <c r="K22" s="35" t="s">
        <v>47</v>
      </c>
      <c r="L22" s="31"/>
    </row>
    <row r="23" ht="14.25" customHeight="1">
      <c r="A23" s="14" t="s">
        <v>203</v>
      </c>
      <c r="B23" s="39"/>
      <c r="C23" s="39"/>
      <c r="D23" s="39"/>
      <c r="E23" s="39"/>
      <c r="F23" s="23" t="s">
        <v>43</v>
      </c>
      <c r="G23" s="39"/>
      <c r="H23" s="39"/>
      <c r="I23" s="39"/>
      <c r="J23" s="39"/>
      <c r="K23" s="35" t="s">
        <v>47</v>
      </c>
      <c r="L23" s="39"/>
    </row>
    <row r="24" ht="14.25" customHeight="1">
      <c r="A24" s="14" t="s">
        <v>215</v>
      </c>
      <c r="B24" s="31"/>
      <c r="C24" s="31"/>
      <c r="D24" s="31"/>
      <c r="E24" s="31"/>
      <c r="F24" s="23" t="s">
        <v>43</v>
      </c>
      <c r="G24" s="31"/>
      <c r="H24" s="31"/>
      <c r="I24" s="31"/>
      <c r="J24" s="31"/>
      <c r="K24" s="35" t="s">
        <v>47</v>
      </c>
      <c r="L24" s="31"/>
    </row>
    <row r="25" ht="14.25" customHeight="1">
      <c r="F25" s="71"/>
      <c r="K25" s="71"/>
    </row>
    <row r="26" ht="14.25" customHeight="1">
      <c r="F26" s="71"/>
      <c r="K26" s="71"/>
    </row>
    <row r="27" ht="14.25" customHeight="1">
      <c r="F27" s="71"/>
      <c r="K27" s="71"/>
    </row>
    <row r="28" ht="14.25" customHeight="1">
      <c r="F28" s="71"/>
      <c r="K28" s="71"/>
    </row>
    <row r="29" ht="14.25" customHeight="1">
      <c r="F29" s="71"/>
      <c r="K29" s="71"/>
    </row>
    <row r="30" ht="14.25" customHeight="1">
      <c r="F30" s="71"/>
      <c r="K30" s="71"/>
    </row>
    <row r="31" ht="14.25" customHeight="1">
      <c r="F31" s="71"/>
      <c r="K31" s="71"/>
    </row>
    <row r="32" ht="14.25" customHeight="1">
      <c r="F32" s="71"/>
      <c r="K32" s="71"/>
    </row>
    <row r="33" ht="14.25" customHeight="1">
      <c r="F33" s="71"/>
      <c r="K33" s="71"/>
    </row>
    <row r="34" ht="14.25" customHeight="1">
      <c r="F34" s="71"/>
      <c r="K34" s="71"/>
    </row>
    <row r="35" ht="14.25" customHeight="1">
      <c r="F35" s="71"/>
      <c r="K35" s="71"/>
    </row>
    <row r="36" ht="14.25" customHeight="1">
      <c r="F36" s="71"/>
      <c r="K36" s="71"/>
    </row>
    <row r="37" ht="14.25" customHeight="1">
      <c r="F37" s="71"/>
      <c r="K37" s="71"/>
    </row>
    <row r="38" ht="14.25" customHeight="1">
      <c r="F38" s="71"/>
      <c r="K38" s="71"/>
    </row>
    <row r="39" ht="14.25" customHeight="1">
      <c r="F39" s="71"/>
      <c r="K39" s="71"/>
    </row>
    <row r="40" ht="14.25" customHeight="1">
      <c r="F40" s="71"/>
      <c r="K40" s="71"/>
    </row>
    <row r="41" ht="14.25" customHeight="1">
      <c r="F41" s="71"/>
      <c r="K41" s="71"/>
    </row>
    <row r="42" ht="14.25" customHeight="1">
      <c r="F42" s="71"/>
      <c r="K42" s="71"/>
    </row>
    <row r="43" ht="14.25" customHeight="1">
      <c r="F43" s="71"/>
      <c r="K43" s="71"/>
    </row>
    <row r="44" ht="14.25" customHeight="1">
      <c r="F44" s="71"/>
      <c r="K44" s="71"/>
    </row>
    <row r="45" ht="14.25" customHeight="1">
      <c r="F45" s="71"/>
      <c r="K45" s="71"/>
    </row>
    <row r="46" ht="14.25" customHeight="1">
      <c r="F46" s="71"/>
      <c r="K46" s="71"/>
    </row>
    <row r="47" ht="14.25" customHeight="1">
      <c r="F47" s="71"/>
      <c r="K47" s="71"/>
    </row>
    <row r="48" ht="14.25" customHeight="1">
      <c r="F48" s="71"/>
      <c r="K48" s="71"/>
    </row>
    <row r="49" ht="14.25" customHeight="1">
      <c r="F49" s="71"/>
      <c r="K49" s="71"/>
    </row>
    <row r="50" ht="14.25" customHeight="1">
      <c r="F50" s="71"/>
      <c r="K50" s="71"/>
    </row>
    <row r="51" ht="14.25" customHeight="1">
      <c r="F51" s="71"/>
      <c r="K51" s="71"/>
    </row>
    <row r="52" ht="14.25" customHeight="1">
      <c r="F52" s="71"/>
      <c r="K52" s="71"/>
    </row>
    <row r="53" ht="14.25" customHeight="1">
      <c r="F53" s="71"/>
      <c r="K53" s="71"/>
    </row>
    <row r="54" ht="14.25" customHeight="1">
      <c r="F54" s="71"/>
      <c r="K54" s="71"/>
    </row>
    <row r="55" ht="14.25" customHeight="1">
      <c r="F55" s="71"/>
      <c r="K55" s="71"/>
    </row>
    <row r="56" ht="14.25" customHeight="1">
      <c r="F56" s="71"/>
      <c r="K56" s="71"/>
    </row>
    <row r="57" ht="14.25" customHeight="1">
      <c r="F57" s="71"/>
      <c r="K57" s="71"/>
    </row>
    <row r="58" ht="14.25" customHeight="1">
      <c r="F58" s="71"/>
      <c r="K58" s="71"/>
    </row>
    <row r="59" ht="14.25" customHeight="1">
      <c r="F59" s="71"/>
      <c r="K59" s="71"/>
    </row>
    <row r="60" ht="14.25" customHeight="1">
      <c r="F60" s="71"/>
      <c r="K60" s="71"/>
    </row>
    <row r="61" ht="14.25" customHeight="1">
      <c r="F61" s="71"/>
      <c r="K61" s="71"/>
    </row>
    <row r="62" ht="14.25" customHeight="1">
      <c r="F62" s="71"/>
      <c r="K62" s="71"/>
    </row>
    <row r="63" ht="14.25" customHeight="1">
      <c r="F63" s="71"/>
      <c r="K63" s="71"/>
    </row>
    <row r="64" ht="14.25" customHeight="1">
      <c r="F64" s="71"/>
      <c r="K64" s="71"/>
    </row>
    <row r="65" ht="14.25" customHeight="1">
      <c r="F65" s="71"/>
      <c r="K65" s="71"/>
    </row>
    <row r="66" ht="14.25" customHeight="1">
      <c r="F66" s="71"/>
      <c r="K66" s="71"/>
    </row>
    <row r="67" ht="14.25" customHeight="1">
      <c r="F67" s="71"/>
      <c r="K67" s="71"/>
    </row>
    <row r="68" ht="14.25" customHeight="1">
      <c r="F68" s="71"/>
      <c r="K68" s="71"/>
    </row>
    <row r="69" ht="14.25" customHeight="1">
      <c r="F69" s="71"/>
      <c r="K69" s="71"/>
    </row>
    <row r="70" ht="14.25" customHeight="1">
      <c r="F70" s="71"/>
      <c r="K70" s="71"/>
    </row>
    <row r="71" ht="14.25" customHeight="1">
      <c r="F71" s="71"/>
      <c r="K71" s="71"/>
    </row>
    <row r="72" ht="14.25" customHeight="1">
      <c r="F72" s="71"/>
      <c r="K72" s="71"/>
    </row>
    <row r="73" ht="14.25" customHeight="1">
      <c r="F73" s="71"/>
      <c r="K73" s="71"/>
    </row>
    <row r="74" ht="14.25" customHeight="1">
      <c r="F74" s="71"/>
      <c r="K74" s="71"/>
    </row>
    <row r="75" ht="14.25" customHeight="1">
      <c r="F75" s="71"/>
      <c r="K75" s="71"/>
    </row>
    <row r="76" ht="14.25" customHeight="1">
      <c r="F76" s="71"/>
      <c r="K76" s="71"/>
    </row>
    <row r="77" ht="14.25" customHeight="1">
      <c r="F77" s="71"/>
      <c r="K77" s="71"/>
    </row>
    <row r="78" ht="14.25" customHeight="1">
      <c r="F78" s="71"/>
      <c r="K78" s="71"/>
    </row>
    <row r="79" ht="14.25" customHeight="1">
      <c r="F79" s="71"/>
      <c r="K79" s="71"/>
    </row>
    <row r="80" ht="14.25" customHeight="1">
      <c r="F80" s="71"/>
      <c r="K80" s="71"/>
    </row>
    <row r="81" ht="14.25" customHeight="1">
      <c r="F81" s="71"/>
      <c r="K81" s="71"/>
    </row>
    <row r="82" ht="14.25" customHeight="1">
      <c r="F82" s="71"/>
      <c r="K82" s="71"/>
    </row>
    <row r="83" ht="14.25" customHeight="1">
      <c r="F83" s="71"/>
      <c r="K83" s="71"/>
    </row>
    <row r="84" ht="14.25" customHeight="1">
      <c r="F84" s="71"/>
      <c r="K84" s="71"/>
    </row>
    <row r="85" ht="14.25" customHeight="1">
      <c r="F85" s="71"/>
      <c r="K85" s="71"/>
    </row>
    <row r="86" ht="14.25" customHeight="1">
      <c r="F86" s="71"/>
      <c r="K86" s="71"/>
    </row>
    <row r="87" ht="14.25" customHeight="1">
      <c r="F87" s="71"/>
      <c r="K87" s="71"/>
    </row>
    <row r="88" ht="14.25" customHeight="1">
      <c r="F88" s="71"/>
      <c r="K88" s="71"/>
    </row>
    <row r="89" ht="14.25" customHeight="1">
      <c r="F89" s="71"/>
      <c r="K89" s="71"/>
    </row>
    <row r="90" ht="14.25" customHeight="1">
      <c r="F90" s="71"/>
      <c r="K90" s="71"/>
    </row>
    <row r="91" ht="14.25" customHeight="1">
      <c r="F91" s="71"/>
      <c r="K91" s="71"/>
    </row>
    <row r="92" ht="14.25" customHeight="1">
      <c r="F92" s="71"/>
      <c r="K92" s="71"/>
    </row>
    <row r="93" ht="14.25" customHeight="1">
      <c r="F93" s="71"/>
      <c r="K93" s="71"/>
    </row>
    <row r="94" ht="14.25" customHeight="1">
      <c r="F94" s="71"/>
      <c r="K94" s="71"/>
    </row>
    <row r="95" ht="14.25" customHeight="1">
      <c r="F95" s="71"/>
      <c r="K95" s="71"/>
    </row>
    <row r="96" ht="14.25" customHeight="1">
      <c r="F96" s="71"/>
      <c r="K96" s="71"/>
    </row>
    <row r="97" ht="14.25" customHeight="1">
      <c r="F97" s="71"/>
      <c r="K97" s="71"/>
    </row>
    <row r="98" ht="14.25" customHeight="1">
      <c r="F98" s="71"/>
      <c r="K98" s="71"/>
    </row>
    <row r="99" ht="14.25" customHeight="1">
      <c r="F99" s="71"/>
      <c r="K99" s="71"/>
    </row>
    <row r="100" ht="14.25" customHeight="1">
      <c r="F100" s="71"/>
      <c r="K100" s="71"/>
    </row>
    <row r="101" ht="14.25" customHeight="1">
      <c r="F101" s="71"/>
      <c r="K101" s="71"/>
    </row>
    <row r="102" ht="14.25" customHeight="1">
      <c r="F102" s="71"/>
      <c r="K102" s="71"/>
    </row>
    <row r="103" ht="14.25" customHeight="1">
      <c r="F103" s="71"/>
      <c r="K103" s="71"/>
    </row>
    <row r="104" ht="14.25" customHeight="1">
      <c r="F104" s="71"/>
      <c r="K104" s="71"/>
    </row>
    <row r="105" ht="14.25" customHeight="1">
      <c r="F105" s="71"/>
      <c r="K105" s="71"/>
    </row>
    <row r="106" ht="14.25" customHeight="1">
      <c r="F106" s="71"/>
      <c r="K106" s="71"/>
    </row>
    <row r="107" ht="14.25" customHeight="1">
      <c r="F107" s="71"/>
      <c r="K107" s="71"/>
    </row>
    <row r="108" ht="14.25" customHeight="1">
      <c r="F108" s="71"/>
      <c r="K108" s="71"/>
    </row>
    <row r="109" ht="14.25" customHeight="1">
      <c r="F109" s="71"/>
      <c r="K109" s="71"/>
    </row>
    <row r="110" ht="14.25" customHeight="1">
      <c r="F110" s="71"/>
      <c r="K110" s="71"/>
    </row>
    <row r="111" ht="14.25" customHeight="1">
      <c r="F111" s="71"/>
      <c r="K111" s="71"/>
    </row>
    <row r="112" ht="14.25" customHeight="1">
      <c r="F112" s="71"/>
      <c r="K112" s="71"/>
    </row>
    <row r="113" ht="14.25" customHeight="1">
      <c r="F113" s="71"/>
      <c r="K113" s="71"/>
    </row>
    <row r="114" ht="14.25" customHeight="1">
      <c r="F114" s="71"/>
      <c r="K114" s="71"/>
    </row>
    <row r="115" ht="14.25" customHeight="1">
      <c r="F115" s="71"/>
      <c r="K115" s="71"/>
    </row>
    <row r="116" ht="14.25" customHeight="1">
      <c r="F116" s="71"/>
      <c r="K116" s="71"/>
    </row>
    <row r="117" ht="14.25" customHeight="1">
      <c r="F117" s="71"/>
      <c r="K117" s="71"/>
    </row>
    <row r="118" ht="14.25" customHeight="1">
      <c r="F118" s="71"/>
      <c r="K118" s="71"/>
    </row>
    <row r="119" ht="14.25" customHeight="1">
      <c r="F119" s="71"/>
      <c r="K119" s="71"/>
    </row>
    <row r="120" ht="14.25" customHeight="1">
      <c r="F120" s="71"/>
      <c r="K120" s="71"/>
    </row>
    <row r="121" ht="14.25" customHeight="1">
      <c r="F121" s="71"/>
      <c r="K121" s="71"/>
    </row>
    <row r="122" ht="14.25" customHeight="1">
      <c r="F122" s="71"/>
      <c r="K122" s="71"/>
    </row>
    <row r="123" ht="14.25" customHeight="1">
      <c r="F123" s="71"/>
      <c r="K123" s="71"/>
    </row>
    <row r="124" ht="14.25" customHeight="1">
      <c r="F124" s="71"/>
      <c r="K124" s="71"/>
    </row>
    <row r="125" ht="14.25" customHeight="1">
      <c r="F125" s="71"/>
      <c r="K125" s="71"/>
    </row>
    <row r="126" ht="14.25" customHeight="1">
      <c r="F126" s="71"/>
      <c r="K126" s="71"/>
    </row>
    <row r="127" ht="14.25" customHeight="1">
      <c r="F127" s="71"/>
      <c r="K127" s="71"/>
    </row>
    <row r="128" ht="14.25" customHeight="1">
      <c r="F128" s="71"/>
      <c r="K128" s="71"/>
    </row>
    <row r="129" ht="14.25" customHeight="1">
      <c r="F129" s="71"/>
      <c r="K129" s="71"/>
    </row>
    <row r="130" ht="14.25" customHeight="1">
      <c r="F130" s="71"/>
      <c r="K130" s="71"/>
    </row>
    <row r="131" ht="14.25" customHeight="1">
      <c r="F131" s="71"/>
      <c r="K131" s="71"/>
    </row>
    <row r="132" ht="14.25" customHeight="1">
      <c r="F132" s="71"/>
      <c r="K132" s="71"/>
    </row>
    <row r="133" ht="14.25" customHeight="1">
      <c r="F133" s="71"/>
      <c r="K133" s="71"/>
    </row>
    <row r="134" ht="14.25" customHeight="1">
      <c r="F134" s="71"/>
      <c r="K134" s="71"/>
    </row>
    <row r="135" ht="14.25" customHeight="1">
      <c r="F135" s="71"/>
      <c r="K135" s="71"/>
    </row>
    <row r="136" ht="14.25" customHeight="1">
      <c r="F136" s="71"/>
      <c r="K136" s="71"/>
    </row>
    <row r="137" ht="14.25" customHeight="1">
      <c r="F137" s="71"/>
      <c r="K137" s="71"/>
    </row>
    <row r="138" ht="14.25" customHeight="1">
      <c r="F138" s="71"/>
      <c r="K138" s="71"/>
    </row>
    <row r="139" ht="14.25" customHeight="1">
      <c r="F139" s="71"/>
      <c r="K139" s="71"/>
    </row>
    <row r="140" ht="14.25" customHeight="1">
      <c r="F140" s="71"/>
      <c r="K140" s="71"/>
    </row>
    <row r="141" ht="14.25" customHeight="1">
      <c r="F141" s="71"/>
      <c r="K141" s="71"/>
    </row>
    <row r="142" ht="14.25" customHeight="1">
      <c r="F142" s="71"/>
      <c r="K142" s="71"/>
    </row>
    <row r="143" ht="14.25" customHeight="1">
      <c r="F143" s="71"/>
      <c r="K143" s="71"/>
    </row>
    <row r="144" ht="14.25" customHeight="1">
      <c r="F144" s="71"/>
      <c r="K144" s="71"/>
    </row>
    <row r="145" ht="14.25" customHeight="1">
      <c r="F145" s="71"/>
      <c r="K145" s="71"/>
    </row>
    <row r="146" ht="14.25" customHeight="1">
      <c r="F146" s="71"/>
      <c r="K146" s="71"/>
    </row>
    <row r="147" ht="14.25" customHeight="1">
      <c r="F147" s="71"/>
      <c r="K147" s="71"/>
    </row>
    <row r="148" ht="14.25" customHeight="1">
      <c r="F148" s="71"/>
      <c r="K148" s="71"/>
    </row>
    <row r="149" ht="14.25" customHeight="1">
      <c r="F149" s="71"/>
      <c r="K149" s="71"/>
    </row>
    <row r="150" ht="14.25" customHeight="1">
      <c r="F150" s="71"/>
      <c r="K150" s="71"/>
    </row>
    <row r="151" ht="14.25" customHeight="1">
      <c r="F151" s="71"/>
      <c r="K151" s="71"/>
    </row>
    <row r="152" ht="14.25" customHeight="1">
      <c r="F152" s="71"/>
      <c r="K152" s="71"/>
    </row>
    <row r="153" ht="14.25" customHeight="1">
      <c r="F153" s="71"/>
      <c r="K153" s="71"/>
    </row>
    <row r="154" ht="14.25" customHeight="1">
      <c r="F154" s="71"/>
      <c r="K154" s="71"/>
    </row>
    <row r="155" ht="14.25" customHeight="1">
      <c r="F155" s="71"/>
      <c r="K155" s="71"/>
    </row>
    <row r="156" ht="14.25" customHeight="1">
      <c r="F156" s="71"/>
      <c r="K156" s="71"/>
    </row>
    <row r="157" ht="14.25" customHeight="1">
      <c r="F157" s="71"/>
      <c r="K157" s="71"/>
    </row>
    <row r="158" ht="14.25" customHeight="1">
      <c r="F158" s="71"/>
      <c r="K158" s="71"/>
    </row>
    <row r="159" ht="14.25" customHeight="1">
      <c r="F159" s="71"/>
      <c r="K159" s="71"/>
    </row>
    <row r="160" ht="14.25" customHeight="1">
      <c r="F160" s="71"/>
      <c r="K160" s="71"/>
    </row>
    <row r="161" ht="14.25" customHeight="1">
      <c r="F161" s="71"/>
      <c r="K161" s="71"/>
    </row>
    <row r="162" ht="14.25" customHeight="1">
      <c r="F162" s="71"/>
      <c r="K162" s="71"/>
    </row>
    <row r="163" ht="14.25" customHeight="1">
      <c r="F163" s="71"/>
      <c r="K163" s="71"/>
    </row>
    <row r="164" ht="14.25" customHeight="1">
      <c r="F164" s="71"/>
      <c r="K164" s="71"/>
    </row>
    <row r="165" ht="14.25" customHeight="1">
      <c r="F165" s="71"/>
      <c r="K165" s="71"/>
    </row>
    <row r="166" ht="14.25" customHeight="1">
      <c r="F166" s="71"/>
      <c r="K166" s="71"/>
    </row>
    <row r="167" ht="14.25" customHeight="1">
      <c r="F167" s="71"/>
      <c r="K167" s="71"/>
    </row>
    <row r="168" ht="14.25" customHeight="1">
      <c r="F168" s="71"/>
      <c r="K168" s="71"/>
    </row>
    <row r="169" ht="14.25" customHeight="1">
      <c r="F169" s="71"/>
      <c r="K169" s="71"/>
    </row>
    <row r="170" ht="14.25" customHeight="1">
      <c r="F170" s="71"/>
      <c r="K170" s="71"/>
    </row>
    <row r="171" ht="14.25" customHeight="1">
      <c r="F171" s="71"/>
      <c r="K171" s="71"/>
    </row>
    <row r="172" ht="14.25" customHeight="1">
      <c r="F172" s="71"/>
      <c r="K172" s="71"/>
    </row>
    <row r="173" ht="14.25" customHeight="1">
      <c r="F173" s="71"/>
      <c r="K173" s="71"/>
    </row>
    <row r="174" ht="14.25" customHeight="1">
      <c r="F174" s="71"/>
      <c r="K174" s="71"/>
    </row>
    <row r="175" ht="14.25" customHeight="1">
      <c r="F175" s="71"/>
      <c r="K175" s="71"/>
    </row>
    <row r="176" ht="14.25" customHeight="1">
      <c r="F176" s="71"/>
      <c r="K176" s="71"/>
    </row>
    <row r="177" ht="14.25" customHeight="1">
      <c r="F177" s="71"/>
      <c r="K177" s="71"/>
    </row>
    <row r="178" ht="14.25" customHeight="1">
      <c r="F178" s="71"/>
      <c r="K178" s="71"/>
    </row>
    <row r="179" ht="14.25" customHeight="1">
      <c r="F179" s="71"/>
      <c r="K179" s="71"/>
    </row>
    <row r="180" ht="14.25" customHeight="1">
      <c r="F180" s="71"/>
      <c r="K180" s="71"/>
    </row>
    <row r="181" ht="14.25" customHeight="1">
      <c r="F181" s="71"/>
      <c r="K181" s="71"/>
    </row>
    <row r="182" ht="14.25" customHeight="1">
      <c r="F182" s="71"/>
      <c r="K182" s="71"/>
    </row>
    <row r="183" ht="14.25" customHeight="1">
      <c r="F183" s="71"/>
      <c r="K183" s="71"/>
    </row>
    <row r="184" ht="14.25" customHeight="1">
      <c r="F184" s="71"/>
      <c r="K184" s="71"/>
    </row>
    <row r="185" ht="14.25" customHeight="1">
      <c r="F185" s="71"/>
      <c r="K185" s="71"/>
    </row>
    <row r="186" ht="14.25" customHeight="1">
      <c r="F186" s="71"/>
      <c r="K186" s="71"/>
    </row>
    <row r="187" ht="14.25" customHeight="1">
      <c r="F187" s="71"/>
      <c r="K187" s="71"/>
    </row>
    <row r="188" ht="14.25" customHeight="1">
      <c r="F188" s="71"/>
      <c r="K188" s="71"/>
    </row>
    <row r="189" ht="14.25" customHeight="1">
      <c r="F189" s="71"/>
      <c r="K189" s="71"/>
    </row>
    <row r="190" ht="14.25" customHeight="1">
      <c r="F190" s="71"/>
      <c r="K190" s="71"/>
    </row>
    <row r="191" ht="14.25" customHeight="1">
      <c r="F191" s="71"/>
      <c r="K191" s="71"/>
    </row>
    <row r="192" ht="14.25" customHeight="1">
      <c r="F192" s="71"/>
      <c r="K192" s="71"/>
    </row>
    <row r="193" ht="14.25" customHeight="1">
      <c r="F193" s="71"/>
      <c r="K193" s="71"/>
    </row>
    <row r="194" ht="14.25" customHeight="1">
      <c r="F194" s="71"/>
      <c r="K194" s="71"/>
    </row>
    <row r="195" ht="14.25" customHeight="1">
      <c r="F195" s="71"/>
      <c r="K195" s="71"/>
    </row>
    <row r="196" ht="14.25" customHeight="1">
      <c r="F196" s="71"/>
      <c r="K196" s="71"/>
    </row>
    <row r="197" ht="14.25" customHeight="1">
      <c r="F197" s="71"/>
      <c r="K197" s="71"/>
    </row>
    <row r="198" ht="14.25" customHeight="1">
      <c r="F198" s="71"/>
      <c r="K198" s="71"/>
    </row>
    <row r="199" ht="14.25" customHeight="1">
      <c r="F199" s="71"/>
      <c r="K199" s="71"/>
    </row>
    <row r="200" ht="14.25" customHeight="1">
      <c r="F200" s="71"/>
      <c r="K200" s="71"/>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conditionalFormatting sqref="F5:F1000">
    <cfRule type="cellIs" dxfId="2" priority="13" operator="equal">
      <formula>"Critical"</formula>
    </cfRule>
  </conditionalFormatting>
  <conditionalFormatting sqref="F5:F1000">
    <cfRule type="cellIs" dxfId="2" priority="14" operator="equal">
      <formula>"High"</formula>
    </cfRule>
  </conditionalFormatting>
  <conditionalFormatting sqref="F5:F1000">
    <cfRule type="cellIs" dxfId="1" priority="15" operator="equal">
      <formula>"Medium"</formula>
    </cfRule>
  </conditionalFormatting>
  <conditionalFormatting sqref="F5:F1000">
    <cfRule type="cellIs" dxfId="0" priority="16" operator="equal">
      <formula>"Low"</formula>
    </cfRule>
  </conditionalFormatting>
  <dataValidations>
    <dataValidation type="list" allowBlank="1" sqref="K5:K200">
      <formula1>"Open,Answered,Closed,Cancelled"</formula1>
    </dataValidation>
    <dataValidation type="list" allowBlank="1" sqref="F5:F200">
      <formula1>"Critical,High,Medium,Low"</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6B75"/>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9.43"/>
    <col customWidth="1" min="2" max="2" width="12.0"/>
    <col customWidth="1" min="3" max="3" width="14.0"/>
    <col customWidth="1" min="4" max="4" width="10.0"/>
    <col customWidth="1" min="5" max="5" width="30.0"/>
    <col customWidth="1" min="6" max="7" width="14.0"/>
    <col customWidth="1" min="8" max="8" width="10.0"/>
    <col customWidth="1" min="9" max="9" width="24.0"/>
    <col customWidth="1" min="10" max="10" width="14.0"/>
    <col customWidth="1" min="11" max="11" width="12.0"/>
    <col customWidth="1" min="12" max="12" width="14.0"/>
    <col customWidth="1" min="13" max="13" width="12.0"/>
    <col customWidth="1" min="14" max="14" width="20.0"/>
    <col customWidth="1" min="15" max="26" width="8.71"/>
  </cols>
  <sheetData>
    <row r="1" ht="14.25" customHeight="1">
      <c r="A1" s="5" t="s">
        <v>271</v>
      </c>
    </row>
    <row r="2" ht="14.25" customHeight="1">
      <c r="A2" s="6" t="s">
        <v>273</v>
      </c>
    </row>
    <row r="3" ht="14.25" customHeight="1"/>
    <row r="4" ht="14.25" customHeight="1">
      <c r="A4" s="84" t="s">
        <v>7</v>
      </c>
      <c r="B4" s="84" t="s">
        <v>14</v>
      </c>
      <c r="C4" s="84" t="s">
        <v>275</v>
      </c>
      <c r="D4" s="84" t="s">
        <v>277</v>
      </c>
      <c r="E4" s="84" t="s">
        <v>278</v>
      </c>
      <c r="F4" s="84" t="s">
        <v>281</v>
      </c>
      <c r="G4" s="84" t="s">
        <v>50</v>
      </c>
      <c r="H4" s="84" t="s">
        <v>282</v>
      </c>
      <c r="I4" s="84" t="s">
        <v>283</v>
      </c>
      <c r="J4" s="84" t="s">
        <v>210</v>
      </c>
      <c r="K4" s="84" t="s">
        <v>16</v>
      </c>
      <c r="L4" s="84" t="s">
        <v>22</v>
      </c>
      <c r="M4" s="84" t="s">
        <v>286</v>
      </c>
      <c r="N4" s="84" t="s">
        <v>24</v>
      </c>
    </row>
    <row r="5" ht="14.25" customHeight="1">
      <c r="A5" s="85" t="s">
        <v>288</v>
      </c>
      <c r="B5" s="86" t="s">
        <v>290</v>
      </c>
      <c r="C5" s="87"/>
      <c r="D5" s="86" t="s">
        <v>293</v>
      </c>
      <c r="E5" s="87" t="s">
        <v>294</v>
      </c>
      <c r="F5" s="87" t="s">
        <v>295</v>
      </c>
      <c r="G5" s="87" t="s">
        <v>296</v>
      </c>
      <c r="H5" s="23">
        <v>2.0</v>
      </c>
      <c r="I5" s="87" t="s">
        <v>298</v>
      </c>
      <c r="J5" s="86" t="s">
        <v>73</v>
      </c>
      <c r="K5" s="27" t="s">
        <v>300</v>
      </c>
      <c r="L5" s="87"/>
      <c r="M5" s="86" t="s">
        <v>301</v>
      </c>
      <c r="N5" s="87"/>
    </row>
    <row r="6" ht="14.25" customHeight="1">
      <c r="A6" s="85" t="s">
        <v>302</v>
      </c>
      <c r="B6" s="42"/>
      <c r="C6" s="37"/>
      <c r="D6" s="42" t="s">
        <v>304</v>
      </c>
      <c r="E6" s="37" t="s">
        <v>306</v>
      </c>
      <c r="F6" s="37" t="s">
        <v>295</v>
      </c>
      <c r="G6" s="37" t="s">
        <v>296</v>
      </c>
      <c r="H6" s="23">
        <v>4.0</v>
      </c>
      <c r="I6" s="37" t="s">
        <v>298</v>
      </c>
      <c r="J6" s="42" t="s">
        <v>73</v>
      </c>
      <c r="K6" s="27" t="s">
        <v>300</v>
      </c>
      <c r="L6" s="37"/>
      <c r="M6" s="42"/>
      <c r="N6" s="37"/>
    </row>
    <row r="7" ht="14.25" customHeight="1">
      <c r="A7" s="85" t="s">
        <v>309</v>
      </c>
      <c r="B7" s="42"/>
      <c r="C7" s="37"/>
      <c r="D7" s="42"/>
      <c r="E7" s="37"/>
      <c r="F7" s="37"/>
      <c r="G7" s="37"/>
      <c r="H7" s="88"/>
      <c r="I7" s="37"/>
      <c r="J7" s="42"/>
      <c r="K7" s="27" t="s">
        <v>300</v>
      </c>
      <c r="L7" s="37"/>
      <c r="M7" s="42"/>
      <c r="N7" s="37"/>
    </row>
    <row r="8" ht="14.25" customHeight="1">
      <c r="A8" s="85" t="s">
        <v>313</v>
      </c>
      <c r="B8" s="86"/>
      <c r="C8" s="87"/>
      <c r="D8" s="86"/>
      <c r="E8" s="87"/>
      <c r="F8" s="87"/>
      <c r="G8" s="87"/>
      <c r="H8" s="88"/>
      <c r="I8" s="87"/>
      <c r="J8" s="86"/>
      <c r="K8" s="27" t="s">
        <v>300</v>
      </c>
      <c r="L8" s="87"/>
      <c r="M8" s="86"/>
      <c r="N8" s="87"/>
    </row>
    <row r="9" ht="14.25" customHeight="1">
      <c r="A9" s="85" t="s">
        <v>315</v>
      </c>
      <c r="B9" s="42"/>
      <c r="C9" s="37"/>
      <c r="D9" s="42"/>
      <c r="E9" s="37"/>
      <c r="F9" s="37"/>
      <c r="G9" s="37"/>
      <c r="H9" s="88"/>
      <c r="I9" s="37"/>
      <c r="J9" s="42"/>
      <c r="K9" s="27" t="s">
        <v>300</v>
      </c>
      <c r="L9" s="37"/>
      <c r="M9" s="42"/>
      <c r="N9" s="37"/>
    </row>
    <row r="10" ht="14.25" customHeight="1">
      <c r="A10" s="85" t="s">
        <v>317</v>
      </c>
      <c r="B10" s="86"/>
      <c r="C10" s="87"/>
      <c r="D10" s="86"/>
      <c r="E10" s="87"/>
      <c r="F10" s="87"/>
      <c r="G10" s="87"/>
      <c r="H10" s="88"/>
      <c r="I10" s="87"/>
      <c r="J10" s="86"/>
      <c r="K10" s="27" t="s">
        <v>300</v>
      </c>
      <c r="L10" s="87"/>
      <c r="M10" s="86"/>
      <c r="N10" s="87"/>
    </row>
    <row r="11" ht="14.25" customHeight="1">
      <c r="A11" s="85" t="s">
        <v>320</v>
      </c>
      <c r="B11" s="42"/>
      <c r="C11" s="37"/>
      <c r="D11" s="42"/>
      <c r="E11" s="37"/>
      <c r="F11" s="37"/>
      <c r="G11" s="37"/>
      <c r="H11" s="88"/>
      <c r="I11" s="37"/>
      <c r="J11" s="42"/>
      <c r="K11" s="27" t="s">
        <v>300</v>
      </c>
      <c r="L11" s="37"/>
      <c r="M11" s="42"/>
      <c r="N11" s="37"/>
    </row>
    <row r="12" ht="14.25" customHeight="1">
      <c r="A12" s="85" t="s">
        <v>323</v>
      </c>
      <c r="B12" s="86"/>
      <c r="C12" s="87"/>
      <c r="D12" s="86"/>
      <c r="E12" s="87"/>
      <c r="F12" s="87"/>
      <c r="G12" s="87"/>
      <c r="H12" s="88"/>
      <c r="I12" s="87"/>
      <c r="J12" s="86"/>
      <c r="K12" s="27" t="s">
        <v>300</v>
      </c>
      <c r="L12" s="87"/>
      <c r="M12" s="86"/>
      <c r="N12" s="87"/>
    </row>
    <row r="13" ht="14.25" customHeight="1">
      <c r="A13" s="85" t="s">
        <v>327</v>
      </c>
      <c r="B13" s="42"/>
      <c r="C13" s="37"/>
      <c r="D13" s="42"/>
      <c r="E13" s="37"/>
      <c r="F13" s="37"/>
      <c r="G13" s="37"/>
      <c r="H13" s="88"/>
      <c r="I13" s="37"/>
      <c r="J13" s="42"/>
      <c r="K13" s="27" t="s">
        <v>300</v>
      </c>
      <c r="L13" s="37"/>
      <c r="M13" s="42"/>
      <c r="N13" s="37"/>
    </row>
    <row r="14" ht="14.25" customHeight="1">
      <c r="A14" s="85" t="s">
        <v>329</v>
      </c>
      <c r="B14" s="86"/>
      <c r="C14" s="87"/>
      <c r="D14" s="86"/>
      <c r="E14" s="87"/>
      <c r="F14" s="87"/>
      <c r="G14" s="87"/>
      <c r="H14" s="88"/>
      <c r="I14" s="87"/>
      <c r="J14" s="86"/>
      <c r="K14" s="27" t="s">
        <v>300</v>
      </c>
      <c r="L14" s="87"/>
      <c r="M14" s="86"/>
      <c r="N14" s="87"/>
    </row>
    <row r="15" ht="14.25" customHeight="1">
      <c r="A15" s="85" t="s">
        <v>332</v>
      </c>
      <c r="B15" s="42"/>
      <c r="C15" s="37"/>
      <c r="D15" s="42"/>
      <c r="E15" s="37"/>
      <c r="F15" s="37"/>
      <c r="G15" s="37"/>
      <c r="H15" s="88"/>
      <c r="I15" s="37"/>
      <c r="J15" s="42"/>
      <c r="K15" s="27" t="s">
        <v>300</v>
      </c>
      <c r="L15" s="37"/>
      <c r="M15" s="42"/>
      <c r="N15" s="37"/>
    </row>
    <row r="16" ht="14.25" customHeight="1">
      <c r="A16" s="85" t="s">
        <v>335</v>
      </c>
      <c r="B16" s="86"/>
      <c r="C16" s="87"/>
      <c r="D16" s="86"/>
      <c r="E16" s="87"/>
      <c r="F16" s="87"/>
      <c r="G16" s="87"/>
      <c r="H16" s="88"/>
      <c r="I16" s="87"/>
      <c r="J16" s="86"/>
      <c r="K16" s="27" t="s">
        <v>300</v>
      </c>
      <c r="L16" s="87"/>
      <c r="M16" s="86"/>
      <c r="N16" s="87"/>
    </row>
    <row r="17" ht="14.25" customHeight="1">
      <c r="A17" s="85" t="s">
        <v>338</v>
      </c>
      <c r="B17" s="42"/>
      <c r="C17" s="37"/>
      <c r="D17" s="42"/>
      <c r="E17" s="37"/>
      <c r="F17" s="37"/>
      <c r="G17" s="37"/>
      <c r="H17" s="88"/>
      <c r="I17" s="37"/>
      <c r="J17" s="42"/>
      <c r="K17" s="27" t="s">
        <v>300</v>
      </c>
      <c r="L17" s="37"/>
      <c r="M17" s="42"/>
      <c r="N17" s="37"/>
    </row>
    <row r="18" ht="14.25" customHeight="1">
      <c r="A18" s="85" t="s">
        <v>341</v>
      </c>
      <c r="B18" s="86"/>
      <c r="C18" s="87"/>
      <c r="D18" s="86"/>
      <c r="E18" s="87"/>
      <c r="F18" s="87"/>
      <c r="G18" s="87"/>
      <c r="H18" s="88"/>
      <c r="I18" s="87"/>
      <c r="J18" s="86"/>
      <c r="K18" s="27" t="s">
        <v>300</v>
      </c>
      <c r="L18" s="87"/>
      <c r="M18" s="86"/>
      <c r="N18" s="87"/>
    </row>
    <row r="19" ht="14.25" customHeight="1">
      <c r="A19" s="85" t="s">
        <v>351</v>
      </c>
      <c r="B19" s="42"/>
      <c r="C19" s="37"/>
      <c r="D19" s="42"/>
      <c r="E19" s="37"/>
      <c r="F19" s="37"/>
      <c r="G19" s="37"/>
      <c r="H19" s="88"/>
      <c r="I19" s="37"/>
      <c r="J19" s="42"/>
      <c r="K19" s="27" t="s">
        <v>300</v>
      </c>
      <c r="L19" s="37"/>
      <c r="M19" s="42"/>
      <c r="N19" s="37"/>
    </row>
    <row r="20" ht="14.25" customHeight="1">
      <c r="A20" s="85" t="s">
        <v>362</v>
      </c>
      <c r="B20" s="86"/>
      <c r="C20" s="87"/>
      <c r="D20" s="86"/>
      <c r="E20" s="87"/>
      <c r="F20" s="87"/>
      <c r="G20" s="87"/>
      <c r="H20" s="88"/>
      <c r="I20" s="87"/>
      <c r="J20" s="86"/>
      <c r="K20" s="27" t="s">
        <v>300</v>
      </c>
      <c r="L20" s="87"/>
      <c r="M20" s="86"/>
      <c r="N20" s="87"/>
    </row>
    <row r="21" ht="14.25" customHeight="1">
      <c r="A21" s="85" t="s">
        <v>373</v>
      </c>
      <c r="B21" s="42"/>
      <c r="C21" s="37"/>
      <c r="D21" s="42"/>
      <c r="E21" s="37"/>
      <c r="F21" s="37"/>
      <c r="G21" s="37"/>
      <c r="H21" s="88"/>
      <c r="I21" s="37"/>
      <c r="J21" s="42"/>
      <c r="K21" s="27" t="s">
        <v>300</v>
      </c>
      <c r="L21" s="37"/>
      <c r="M21" s="42"/>
      <c r="N21" s="37"/>
    </row>
    <row r="22" ht="14.25" customHeight="1">
      <c r="A22" s="85" t="s">
        <v>383</v>
      </c>
      <c r="B22" s="86"/>
      <c r="C22" s="87"/>
      <c r="D22" s="86"/>
      <c r="E22" s="87"/>
      <c r="F22" s="87"/>
      <c r="G22" s="87"/>
      <c r="H22" s="88"/>
      <c r="I22" s="87"/>
      <c r="J22" s="86"/>
      <c r="K22" s="27" t="s">
        <v>300</v>
      </c>
      <c r="L22" s="87"/>
      <c r="M22" s="86"/>
      <c r="N22" s="87"/>
    </row>
    <row r="23" ht="14.25" customHeight="1">
      <c r="A23" s="85" t="s">
        <v>390</v>
      </c>
      <c r="B23" s="42"/>
      <c r="C23" s="37"/>
      <c r="D23" s="42"/>
      <c r="E23" s="37"/>
      <c r="F23" s="37"/>
      <c r="G23" s="37"/>
      <c r="H23" s="88"/>
      <c r="I23" s="37"/>
      <c r="J23" s="42"/>
      <c r="K23" s="27" t="s">
        <v>300</v>
      </c>
      <c r="L23" s="37"/>
      <c r="M23" s="42"/>
      <c r="N23" s="37"/>
    </row>
    <row r="24" ht="14.25" customHeight="1">
      <c r="A24" s="85" t="s">
        <v>400</v>
      </c>
      <c r="B24" s="86"/>
      <c r="C24" s="87"/>
      <c r="D24" s="86"/>
      <c r="E24" s="87"/>
      <c r="F24" s="87"/>
      <c r="G24" s="87"/>
      <c r="H24" s="88"/>
      <c r="I24" s="87"/>
      <c r="J24" s="86"/>
      <c r="K24" s="27" t="s">
        <v>300</v>
      </c>
      <c r="L24" s="87"/>
      <c r="M24" s="86"/>
      <c r="N24" s="87"/>
    </row>
    <row r="25" ht="14.25" customHeight="1">
      <c r="A25" s="85" t="s">
        <v>412</v>
      </c>
      <c r="B25" s="42"/>
      <c r="C25" s="37"/>
      <c r="D25" s="42"/>
      <c r="E25" s="37"/>
      <c r="F25" s="37"/>
      <c r="G25" s="37"/>
      <c r="H25" s="88"/>
      <c r="I25" s="37"/>
      <c r="J25" s="42"/>
      <c r="K25" s="27" t="s">
        <v>300</v>
      </c>
      <c r="L25" s="37"/>
      <c r="M25" s="42"/>
      <c r="N25" s="37"/>
    </row>
    <row r="26" ht="14.25" customHeight="1">
      <c r="A26" s="85" t="s">
        <v>419</v>
      </c>
      <c r="B26" s="86"/>
      <c r="C26" s="87"/>
      <c r="D26" s="86"/>
      <c r="E26" s="87"/>
      <c r="F26" s="87"/>
      <c r="G26" s="87"/>
      <c r="H26" s="88"/>
      <c r="I26" s="87"/>
      <c r="J26" s="86"/>
      <c r="K26" s="27" t="s">
        <v>300</v>
      </c>
      <c r="L26" s="87"/>
      <c r="M26" s="86"/>
      <c r="N26" s="87"/>
    </row>
    <row r="27" ht="14.25" customHeight="1">
      <c r="A27" s="85" t="s">
        <v>425</v>
      </c>
      <c r="B27" s="42"/>
      <c r="C27" s="37"/>
      <c r="D27" s="42"/>
      <c r="E27" s="37"/>
      <c r="F27" s="37"/>
      <c r="G27" s="37"/>
      <c r="H27" s="88"/>
      <c r="I27" s="37"/>
      <c r="J27" s="42"/>
      <c r="K27" s="27" t="s">
        <v>300</v>
      </c>
      <c r="L27" s="37"/>
      <c r="M27" s="42"/>
      <c r="N27" s="37"/>
    </row>
    <row r="28" ht="14.25" customHeight="1">
      <c r="A28" s="85" t="s">
        <v>428</v>
      </c>
      <c r="B28" s="86"/>
      <c r="C28" s="87"/>
      <c r="D28" s="86"/>
      <c r="E28" s="87"/>
      <c r="F28" s="87"/>
      <c r="G28" s="87"/>
      <c r="H28" s="88"/>
      <c r="I28" s="87"/>
      <c r="J28" s="86"/>
      <c r="K28" s="27" t="s">
        <v>300</v>
      </c>
      <c r="L28" s="87"/>
      <c r="M28" s="86"/>
      <c r="N28" s="87"/>
    </row>
    <row r="29" ht="14.25" customHeight="1">
      <c r="A29" s="85" t="s">
        <v>436</v>
      </c>
      <c r="B29" s="42"/>
      <c r="C29" s="37"/>
      <c r="D29" s="42"/>
      <c r="E29" s="37"/>
      <c r="F29" s="37"/>
      <c r="G29" s="37"/>
      <c r="H29" s="88"/>
      <c r="I29" s="37"/>
      <c r="J29" s="42"/>
      <c r="K29" s="27" t="s">
        <v>300</v>
      </c>
      <c r="L29" s="37"/>
      <c r="M29" s="42"/>
      <c r="N29" s="37"/>
    </row>
    <row r="30" ht="14.25" customHeight="1">
      <c r="A30" s="85" t="s">
        <v>439</v>
      </c>
      <c r="B30" s="86"/>
      <c r="C30" s="87"/>
      <c r="D30" s="86"/>
      <c r="E30" s="87"/>
      <c r="F30" s="87"/>
      <c r="G30" s="87"/>
      <c r="H30" s="88"/>
      <c r="I30" s="87"/>
      <c r="J30" s="86"/>
      <c r="K30" s="27" t="s">
        <v>300</v>
      </c>
      <c r="L30" s="87"/>
      <c r="M30" s="86"/>
      <c r="N30" s="87"/>
    </row>
    <row r="31" ht="14.25" customHeight="1">
      <c r="A31" s="85" t="s">
        <v>450</v>
      </c>
      <c r="B31" s="42"/>
      <c r="C31" s="37"/>
      <c r="D31" s="42"/>
      <c r="E31" s="37"/>
      <c r="F31" s="37"/>
      <c r="G31" s="37"/>
      <c r="H31" s="88"/>
      <c r="I31" s="37"/>
      <c r="J31" s="42"/>
      <c r="K31" s="27" t="s">
        <v>300</v>
      </c>
      <c r="L31" s="37"/>
      <c r="M31" s="42"/>
      <c r="N31" s="37"/>
    </row>
    <row r="32" ht="14.25" customHeight="1">
      <c r="A32" s="85" t="s">
        <v>454</v>
      </c>
      <c r="B32" s="86"/>
      <c r="C32" s="87"/>
      <c r="D32" s="86"/>
      <c r="E32" s="87"/>
      <c r="F32" s="87"/>
      <c r="G32" s="87"/>
      <c r="H32" s="88"/>
      <c r="I32" s="87"/>
      <c r="J32" s="86"/>
      <c r="K32" s="27" t="s">
        <v>300</v>
      </c>
      <c r="L32" s="87"/>
      <c r="M32" s="86"/>
      <c r="N32" s="87"/>
    </row>
    <row r="33" ht="14.25" customHeight="1">
      <c r="A33" s="85" t="s">
        <v>463</v>
      </c>
      <c r="B33" s="42"/>
      <c r="C33" s="37"/>
      <c r="D33" s="42"/>
      <c r="E33" s="37"/>
      <c r="F33" s="37"/>
      <c r="G33" s="37"/>
      <c r="H33" s="88"/>
      <c r="I33" s="37"/>
      <c r="J33" s="42"/>
      <c r="K33" s="27" t="s">
        <v>300</v>
      </c>
      <c r="L33" s="37"/>
      <c r="M33" s="42"/>
      <c r="N33" s="37"/>
    </row>
    <row r="34" ht="14.25" customHeight="1">
      <c r="A34" s="85" t="s">
        <v>467</v>
      </c>
      <c r="B34" s="86"/>
      <c r="C34" s="87"/>
      <c r="D34" s="86"/>
      <c r="E34" s="87"/>
      <c r="F34" s="87"/>
      <c r="G34" s="87"/>
      <c r="H34" s="88"/>
      <c r="I34" s="87"/>
      <c r="J34" s="86"/>
      <c r="K34" s="27" t="s">
        <v>300</v>
      </c>
      <c r="L34" s="87"/>
      <c r="M34" s="86"/>
      <c r="N34" s="87"/>
    </row>
    <row r="35" ht="14.25" customHeight="1">
      <c r="A35" s="85" t="s">
        <v>471</v>
      </c>
      <c r="B35" s="42"/>
      <c r="C35" s="37"/>
      <c r="D35" s="42"/>
      <c r="E35" s="37"/>
      <c r="F35" s="37"/>
      <c r="G35" s="37"/>
      <c r="H35" s="88"/>
      <c r="I35" s="37"/>
      <c r="J35" s="42"/>
      <c r="K35" s="27" t="s">
        <v>300</v>
      </c>
      <c r="L35" s="37"/>
      <c r="M35" s="42"/>
      <c r="N35" s="37"/>
    </row>
    <row r="36" ht="14.25" customHeight="1">
      <c r="F36" s="71"/>
      <c r="G36" s="71"/>
      <c r="J36" s="71"/>
      <c r="K36" s="71"/>
    </row>
    <row r="37" ht="14.25" customHeight="1">
      <c r="F37" s="71"/>
      <c r="G37" s="71"/>
      <c r="J37" s="71"/>
      <c r="K37" s="71"/>
    </row>
    <row r="38" ht="14.25" customHeight="1">
      <c r="F38" s="71"/>
      <c r="G38" s="71"/>
      <c r="J38" s="71"/>
      <c r="K38" s="71"/>
    </row>
    <row r="39" ht="14.25" customHeight="1">
      <c r="A39" s="102" t="s">
        <v>479</v>
      </c>
      <c r="F39" s="71"/>
      <c r="G39" s="71"/>
      <c r="J39" s="71"/>
      <c r="K39" s="71"/>
    </row>
    <row r="40" ht="14.25" customHeight="1">
      <c r="A40" s="84" t="s">
        <v>281</v>
      </c>
      <c r="B40" s="84" t="s">
        <v>483</v>
      </c>
      <c r="F40" s="71"/>
      <c r="G40" s="71"/>
      <c r="J40" s="71"/>
      <c r="K40" s="71"/>
    </row>
    <row r="41" ht="14.25" customHeight="1">
      <c r="A41" s="103" t="s">
        <v>486</v>
      </c>
      <c r="B41" s="42">
        <f>SUMIF(F5:F500,"Training",H5:H500)</f>
        <v>0</v>
      </c>
      <c r="F41" s="71"/>
      <c r="G41" s="71"/>
      <c r="J41" s="71"/>
      <c r="K41" s="71"/>
    </row>
    <row r="42" ht="14.25" customHeight="1">
      <c r="A42" s="103" t="s">
        <v>495</v>
      </c>
      <c r="B42" s="42">
        <f>SUMIF(F5:F500,"Analyzing",H5:H500)</f>
        <v>0</v>
      </c>
      <c r="F42" s="71"/>
      <c r="G42" s="71"/>
      <c r="J42" s="71"/>
      <c r="K42" s="71"/>
    </row>
    <row r="43" ht="14.25" customHeight="1">
      <c r="A43" s="103" t="s">
        <v>498</v>
      </c>
      <c r="B43" s="42">
        <f>SUMIF(F5:F500,"Designing",H5:H500)</f>
        <v>0</v>
      </c>
      <c r="F43" s="71"/>
      <c r="G43" s="71"/>
      <c r="J43" s="71"/>
      <c r="K43" s="71"/>
    </row>
    <row r="44" ht="14.25" customHeight="1">
      <c r="A44" s="103" t="s">
        <v>295</v>
      </c>
      <c r="B44" s="42">
        <f>SUMIF(F5:F500,"Coding",H5:H500)</f>
        <v>6</v>
      </c>
      <c r="F44" s="71"/>
      <c r="G44" s="71"/>
      <c r="J44" s="71"/>
      <c r="K44" s="71"/>
    </row>
    <row r="45" ht="14.25" customHeight="1">
      <c r="A45" s="103" t="s">
        <v>502</v>
      </c>
      <c r="B45" s="42">
        <f>SUMIF(F5:F500,"Testing",H5:H500)</f>
        <v>0</v>
      </c>
      <c r="F45" s="71"/>
      <c r="G45" s="71"/>
      <c r="J45" s="71"/>
      <c r="K45" s="71"/>
    </row>
    <row r="46" ht="14.25" customHeight="1">
      <c r="A46" s="103" t="s">
        <v>508</v>
      </c>
      <c r="B46" s="42">
        <f>SUMIF(F5:F500,"Reviewing",H5:H500)</f>
        <v>0</v>
      </c>
      <c r="F46" s="71"/>
      <c r="G46" s="71"/>
      <c r="J46" s="71"/>
      <c r="K46" s="71"/>
    </row>
    <row r="47" ht="14.25" customHeight="1">
      <c r="A47" s="103" t="s">
        <v>512</v>
      </c>
      <c r="B47" s="42">
        <f>SUMIF(F5:F500,"Deploying",H5:H500)</f>
        <v>0</v>
      </c>
      <c r="F47" s="71"/>
      <c r="G47" s="71"/>
      <c r="J47" s="71"/>
      <c r="K47" s="71"/>
    </row>
    <row r="48" ht="14.25" customHeight="1">
      <c r="A48" s="103" t="s">
        <v>517</v>
      </c>
      <c r="B48" s="42">
        <f>SUMIF(F5:F500,"Meeting",H5:H500)</f>
        <v>0</v>
      </c>
      <c r="F48" s="71"/>
      <c r="G48" s="71"/>
      <c r="J48" s="71"/>
      <c r="K48" s="71"/>
    </row>
    <row r="49" ht="14.25" customHeight="1">
      <c r="A49" s="104" t="s">
        <v>518</v>
      </c>
      <c r="B49" s="8">
        <f>SUM(H5:H500)</f>
        <v>6</v>
      </c>
      <c r="F49" s="71"/>
      <c r="G49" s="71"/>
      <c r="J49" s="71"/>
      <c r="K49" s="71"/>
    </row>
    <row r="50" ht="14.25" customHeight="1">
      <c r="F50" s="71"/>
      <c r="G50" s="71"/>
      <c r="J50" s="71"/>
      <c r="K50" s="71"/>
    </row>
    <row r="51" ht="14.25" customHeight="1">
      <c r="F51" s="71"/>
      <c r="G51" s="71"/>
      <c r="J51" s="71"/>
      <c r="K51" s="71"/>
    </row>
    <row r="52" ht="14.25" customHeight="1">
      <c r="F52" s="71"/>
      <c r="G52" s="71"/>
      <c r="J52" s="71"/>
      <c r="K52" s="71"/>
    </row>
    <row r="53" ht="14.25" customHeight="1">
      <c r="F53" s="71"/>
      <c r="G53" s="71"/>
      <c r="J53" s="71"/>
      <c r="K53" s="71"/>
    </row>
    <row r="54" ht="14.25" customHeight="1">
      <c r="F54" s="71"/>
      <c r="G54" s="71"/>
      <c r="J54" s="71"/>
      <c r="K54" s="71"/>
    </row>
    <row r="55" ht="14.25" customHeight="1">
      <c r="F55" s="71"/>
      <c r="G55" s="71"/>
      <c r="J55" s="71"/>
      <c r="K55" s="71"/>
    </row>
    <row r="56" ht="14.25" customHeight="1">
      <c r="F56" s="71"/>
      <c r="G56" s="71"/>
      <c r="J56" s="71"/>
      <c r="K56" s="71"/>
    </row>
    <row r="57" ht="14.25" customHeight="1">
      <c r="F57" s="71"/>
      <c r="G57" s="71"/>
      <c r="J57" s="71"/>
      <c r="K57" s="71"/>
    </row>
    <row r="58" ht="14.25" customHeight="1">
      <c r="F58" s="71"/>
      <c r="G58" s="71"/>
      <c r="J58" s="71"/>
      <c r="K58" s="71"/>
    </row>
    <row r="59" ht="14.25" customHeight="1">
      <c r="F59" s="71"/>
      <c r="G59" s="71"/>
      <c r="J59" s="71"/>
      <c r="K59" s="71"/>
    </row>
    <row r="60" ht="14.25" customHeight="1">
      <c r="F60" s="71"/>
      <c r="G60" s="71"/>
      <c r="J60" s="71"/>
      <c r="K60" s="71"/>
    </row>
    <row r="61" ht="14.25" customHeight="1">
      <c r="F61" s="71"/>
      <c r="G61" s="71"/>
      <c r="J61" s="71"/>
      <c r="K61" s="71"/>
    </row>
    <row r="62" ht="14.25" customHeight="1">
      <c r="F62" s="71"/>
      <c r="G62" s="71"/>
      <c r="J62" s="71"/>
      <c r="K62" s="71"/>
    </row>
    <row r="63" ht="14.25" customHeight="1">
      <c r="F63" s="71"/>
      <c r="G63" s="71"/>
      <c r="J63" s="71"/>
      <c r="K63" s="71"/>
    </row>
    <row r="64" ht="14.25" customHeight="1">
      <c r="F64" s="71"/>
      <c r="G64" s="71"/>
      <c r="J64" s="71"/>
      <c r="K64" s="71"/>
    </row>
    <row r="65" ht="14.25" customHeight="1">
      <c r="F65" s="71"/>
      <c r="G65" s="71"/>
      <c r="J65" s="71"/>
      <c r="K65" s="71"/>
    </row>
    <row r="66" ht="14.25" customHeight="1">
      <c r="F66" s="71"/>
      <c r="G66" s="71"/>
      <c r="J66" s="71"/>
      <c r="K66" s="71"/>
    </row>
    <row r="67" ht="14.25" customHeight="1">
      <c r="F67" s="71"/>
      <c r="G67" s="71"/>
      <c r="J67" s="71"/>
      <c r="K67" s="71"/>
    </row>
    <row r="68" ht="14.25" customHeight="1">
      <c r="F68" s="71"/>
      <c r="G68" s="71"/>
      <c r="J68" s="71"/>
      <c r="K68" s="71"/>
    </row>
    <row r="69" ht="14.25" customHeight="1">
      <c r="F69" s="71"/>
      <c r="G69" s="71"/>
      <c r="J69" s="71"/>
      <c r="K69" s="71"/>
    </row>
    <row r="70" ht="14.25" customHeight="1">
      <c r="F70" s="71"/>
      <c r="G70" s="71"/>
      <c r="J70" s="71"/>
      <c r="K70" s="71"/>
    </row>
    <row r="71" ht="14.25" customHeight="1">
      <c r="F71" s="71"/>
      <c r="G71" s="71"/>
      <c r="J71" s="71"/>
      <c r="K71" s="71"/>
    </row>
    <row r="72" ht="14.25" customHeight="1">
      <c r="F72" s="71"/>
      <c r="G72" s="71"/>
      <c r="J72" s="71"/>
      <c r="K72" s="71"/>
    </row>
    <row r="73" ht="14.25" customHeight="1">
      <c r="F73" s="71"/>
      <c r="G73" s="71"/>
      <c r="J73" s="71"/>
      <c r="K73" s="71"/>
    </row>
    <row r="74" ht="14.25" customHeight="1">
      <c r="F74" s="71"/>
      <c r="G74" s="71"/>
      <c r="J74" s="71"/>
      <c r="K74" s="71"/>
    </row>
    <row r="75" ht="14.25" customHeight="1">
      <c r="F75" s="71"/>
      <c r="G75" s="71"/>
      <c r="J75" s="71"/>
      <c r="K75" s="71"/>
    </row>
    <row r="76" ht="14.25" customHeight="1">
      <c r="F76" s="71"/>
      <c r="G76" s="71"/>
      <c r="J76" s="71"/>
      <c r="K76" s="71"/>
    </row>
    <row r="77" ht="14.25" customHeight="1">
      <c r="F77" s="71"/>
      <c r="G77" s="71"/>
      <c r="J77" s="71"/>
      <c r="K77" s="71"/>
    </row>
    <row r="78" ht="14.25" customHeight="1">
      <c r="F78" s="71"/>
      <c r="G78" s="71"/>
      <c r="J78" s="71"/>
      <c r="K78" s="71"/>
    </row>
    <row r="79" ht="14.25" customHeight="1">
      <c r="F79" s="71"/>
      <c r="G79" s="71"/>
      <c r="J79" s="71"/>
      <c r="K79" s="71"/>
    </row>
    <row r="80" ht="14.25" customHeight="1">
      <c r="F80" s="71"/>
      <c r="G80" s="71"/>
      <c r="J80" s="71"/>
      <c r="K80" s="71"/>
    </row>
    <row r="81" ht="14.25" customHeight="1">
      <c r="F81" s="71"/>
      <c r="G81" s="71"/>
      <c r="J81" s="71"/>
      <c r="K81" s="71"/>
    </row>
    <row r="82" ht="14.25" customHeight="1">
      <c r="F82" s="71"/>
      <c r="G82" s="71"/>
      <c r="J82" s="71"/>
      <c r="K82" s="71"/>
    </row>
    <row r="83" ht="14.25" customHeight="1">
      <c r="F83" s="71"/>
      <c r="G83" s="71"/>
      <c r="J83" s="71"/>
      <c r="K83" s="71"/>
    </row>
    <row r="84" ht="14.25" customHeight="1">
      <c r="F84" s="71"/>
      <c r="G84" s="71"/>
      <c r="J84" s="71"/>
      <c r="K84" s="71"/>
    </row>
    <row r="85" ht="14.25" customHeight="1">
      <c r="F85" s="71"/>
      <c r="G85" s="71"/>
      <c r="J85" s="71"/>
      <c r="K85" s="71"/>
    </row>
    <row r="86" ht="14.25" customHeight="1">
      <c r="F86" s="71"/>
      <c r="G86" s="71"/>
      <c r="J86" s="71"/>
      <c r="K86" s="71"/>
    </row>
    <row r="87" ht="14.25" customHeight="1">
      <c r="F87" s="71"/>
      <c r="G87" s="71"/>
      <c r="J87" s="71"/>
      <c r="K87" s="71"/>
    </row>
    <row r="88" ht="14.25" customHeight="1">
      <c r="F88" s="71"/>
      <c r="G88" s="71"/>
      <c r="J88" s="71"/>
      <c r="K88" s="71"/>
    </row>
    <row r="89" ht="14.25" customHeight="1">
      <c r="F89" s="71"/>
      <c r="G89" s="71"/>
      <c r="J89" s="71"/>
      <c r="K89" s="71"/>
    </row>
    <row r="90" ht="14.25" customHeight="1">
      <c r="F90" s="71"/>
      <c r="G90" s="71"/>
      <c r="J90" s="71"/>
      <c r="K90" s="71"/>
    </row>
    <row r="91" ht="14.25" customHeight="1">
      <c r="F91" s="71"/>
      <c r="G91" s="71"/>
      <c r="J91" s="71"/>
      <c r="K91" s="71"/>
    </row>
    <row r="92" ht="14.25" customHeight="1">
      <c r="F92" s="71"/>
      <c r="G92" s="71"/>
      <c r="J92" s="71"/>
      <c r="K92" s="71"/>
    </row>
    <row r="93" ht="14.25" customHeight="1">
      <c r="F93" s="71"/>
      <c r="G93" s="71"/>
      <c r="J93" s="71"/>
      <c r="K93" s="71"/>
    </row>
    <row r="94" ht="14.25" customHeight="1">
      <c r="F94" s="71"/>
      <c r="G94" s="71"/>
      <c r="J94" s="71"/>
      <c r="K94" s="71"/>
    </row>
    <row r="95" ht="14.25" customHeight="1">
      <c r="F95" s="71"/>
      <c r="G95" s="71"/>
      <c r="J95" s="71"/>
      <c r="K95" s="71"/>
    </row>
    <row r="96" ht="14.25" customHeight="1">
      <c r="F96" s="71"/>
      <c r="G96" s="71"/>
      <c r="J96" s="71"/>
      <c r="K96" s="71"/>
    </row>
    <row r="97" ht="14.25" customHeight="1">
      <c r="F97" s="71"/>
      <c r="G97" s="71"/>
      <c r="J97" s="71"/>
      <c r="K97" s="71"/>
    </row>
    <row r="98" ht="14.25" customHeight="1">
      <c r="F98" s="71"/>
      <c r="G98" s="71"/>
      <c r="J98" s="71"/>
      <c r="K98" s="71"/>
    </row>
    <row r="99" ht="14.25" customHeight="1">
      <c r="F99" s="71"/>
      <c r="G99" s="71"/>
      <c r="J99" s="71"/>
      <c r="K99" s="71"/>
    </row>
    <row r="100" ht="14.25" customHeight="1">
      <c r="F100" s="71"/>
      <c r="G100" s="71"/>
      <c r="J100" s="71"/>
      <c r="K100" s="71"/>
    </row>
    <row r="101" ht="14.25" customHeight="1">
      <c r="F101" s="71"/>
      <c r="G101" s="71"/>
      <c r="J101" s="71"/>
      <c r="K101" s="71"/>
    </row>
    <row r="102" ht="14.25" customHeight="1">
      <c r="F102" s="71"/>
      <c r="G102" s="71"/>
      <c r="J102" s="71"/>
      <c r="K102" s="71"/>
    </row>
    <row r="103" ht="14.25" customHeight="1">
      <c r="F103" s="71"/>
      <c r="G103" s="71"/>
      <c r="J103" s="71"/>
      <c r="K103" s="71"/>
    </row>
    <row r="104" ht="14.25" customHeight="1">
      <c r="F104" s="71"/>
      <c r="G104" s="71"/>
      <c r="J104" s="71"/>
      <c r="K104" s="71"/>
    </row>
    <row r="105" ht="14.25" customHeight="1">
      <c r="F105" s="71"/>
      <c r="G105" s="71"/>
      <c r="J105" s="71"/>
      <c r="K105" s="71"/>
    </row>
    <row r="106" ht="14.25" customHeight="1">
      <c r="F106" s="71"/>
      <c r="G106" s="71"/>
      <c r="J106" s="71"/>
      <c r="K106" s="71"/>
    </row>
    <row r="107" ht="14.25" customHeight="1">
      <c r="F107" s="71"/>
      <c r="G107" s="71"/>
      <c r="J107" s="71"/>
      <c r="K107" s="71"/>
    </row>
    <row r="108" ht="14.25" customHeight="1">
      <c r="F108" s="71"/>
      <c r="G108" s="71"/>
      <c r="J108" s="71"/>
      <c r="K108" s="71"/>
    </row>
    <row r="109" ht="14.25" customHeight="1">
      <c r="F109" s="71"/>
      <c r="G109" s="71"/>
      <c r="J109" s="71"/>
      <c r="K109" s="71"/>
    </row>
    <row r="110" ht="14.25" customHeight="1">
      <c r="F110" s="71"/>
      <c r="G110" s="71"/>
      <c r="J110" s="71"/>
      <c r="K110" s="71"/>
    </row>
    <row r="111" ht="14.25" customHeight="1">
      <c r="F111" s="71"/>
      <c r="G111" s="71"/>
      <c r="J111" s="71"/>
      <c r="K111" s="71"/>
    </row>
    <row r="112" ht="14.25" customHeight="1">
      <c r="F112" s="71"/>
      <c r="G112" s="71"/>
      <c r="J112" s="71"/>
      <c r="K112" s="71"/>
    </row>
    <row r="113" ht="14.25" customHeight="1">
      <c r="F113" s="71"/>
      <c r="G113" s="71"/>
      <c r="J113" s="71"/>
      <c r="K113" s="71"/>
    </row>
    <row r="114" ht="14.25" customHeight="1">
      <c r="F114" s="71"/>
      <c r="G114" s="71"/>
      <c r="J114" s="71"/>
      <c r="K114" s="71"/>
    </row>
    <row r="115" ht="14.25" customHeight="1">
      <c r="F115" s="71"/>
      <c r="G115" s="71"/>
      <c r="J115" s="71"/>
      <c r="K115" s="71"/>
    </row>
    <row r="116" ht="14.25" customHeight="1">
      <c r="F116" s="71"/>
      <c r="G116" s="71"/>
      <c r="J116" s="71"/>
      <c r="K116" s="71"/>
    </row>
    <row r="117" ht="14.25" customHeight="1">
      <c r="F117" s="71"/>
      <c r="G117" s="71"/>
      <c r="J117" s="71"/>
      <c r="K117" s="71"/>
    </row>
    <row r="118" ht="14.25" customHeight="1">
      <c r="F118" s="71"/>
      <c r="G118" s="71"/>
      <c r="J118" s="71"/>
      <c r="K118" s="71"/>
    </row>
    <row r="119" ht="14.25" customHeight="1">
      <c r="F119" s="71"/>
      <c r="G119" s="71"/>
      <c r="J119" s="71"/>
      <c r="K119" s="71"/>
    </row>
    <row r="120" ht="14.25" customHeight="1">
      <c r="F120" s="71"/>
      <c r="G120" s="71"/>
      <c r="J120" s="71"/>
      <c r="K120" s="71"/>
    </row>
    <row r="121" ht="14.25" customHeight="1">
      <c r="F121" s="71"/>
      <c r="G121" s="71"/>
      <c r="J121" s="71"/>
      <c r="K121" s="71"/>
    </row>
    <row r="122" ht="14.25" customHeight="1">
      <c r="F122" s="71"/>
      <c r="G122" s="71"/>
      <c r="J122" s="71"/>
      <c r="K122" s="71"/>
    </row>
    <row r="123" ht="14.25" customHeight="1">
      <c r="F123" s="71"/>
      <c r="G123" s="71"/>
      <c r="J123" s="71"/>
      <c r="K123" s="71"/>
    </row>
    <row r="124" ht="14.25" customHeight="1">
      <c r="F124" s="71"/>
      <c r="G124" s="71"/>
      <c r="J124" s="71"/>
      <c r="K124" s="71"/>
    </row>
    <row r="125" ht="14.25" customHeight="1">
      <c r="F125" s="71"/>
      <c r="G125" s="71"/>
      <c r="J125" s="71"/>
      <c r="K125" s="71"/>
    </row>
    <row r="126" ht="14.25" customHeight="1">
      <c r="F126" s="71"/>
      <c r="G126" s="71"/>
      <c r="J126" s="71"/>
      <c r="K126" s="71"/>
    </row>
    <row r="127" ht="14.25" customHeight="1">
      <c r="F127" s="71"/>
      <c r="G127" s="71"/>
      <c r="J127" s="71"/>
      <c r="K127" s="71"/>
    </row>
    <row r="128" ht="14.25" customHeight="1">
      <c r="F128" s="71"/>
      <c r="G128" s="71"/>
      <c r="J128" s="71"/>
      <c r="K128" s="71"/>
    </row>
    <row r="129" ht="14.25" customHeight="1">
      <c r="F129" s="71"/>
      <c r="G129" s="71"/>
      <c r="J129" s="71"/>
      <c r="K129" s="71"/>
    </row>
    <row r="130" ht="14.25" customHeight="1">
      <c r="F130" s="71"/>
      <c r="G130" s="71"/>
      <c r="J130" s="71"/>
      <c r="K130" s="71"/>
    </row>
    <row r="131" ht="14.25" customHeight="1">
      <c r="F131" s="71"/>
      <c r="G131" s="71"/>
      <c r="J131" s="71"/>
      <c r="K131" s="71"/>
    </row>
    <row r="132" ht="14.25" customHeight="1">
      <c r="F132" s="71"/>
      <c r="G132" s="71"/>
      <c r="J132" s="71"/>
      <c r="K132" s="71"/>
    </row>
    <row r="133" ht="14.25" customHeight="1">
      <c r="F133" s="71"/>
      <c r="G133" s="71"/>
      <c r="J133" s="71"/>
      <c r="K133" s="71"/>
    </row>
    <row r="134" ht="14.25" customHeight="1">
      <c r="F134" s="71"/>
      <c r="G134" s="71"/>
      <c r="J134" s="71"/>
      <c r="K134" s="71"/>
    </row>
    <row r="135" ht="14.25" customHeight="1">
      <c r="F135" s="71"/>
      <c r="G135" s="71"/>
      <c r="J135" s="71"/>
      <c r="K135" s="71"/>
    </row>
    <row r="136" ht="14.25" customHeight="1">
      <c r="F136" s="71"/>
      <c r="G136" s="71"/>
      <c r="J136" s="71"/>
      <c r="K136" s="71"/>
    </row>
    <row r="137" ht="14.25" customHeight="1">
      <c r="F137" s="71"/>
      <c r="G137" s="71"/>
      <c r="J137" s="71"/>
      <c r="K137" s="71"/>
    </row>
    <row r="138" ht="14.25" customHeight="1">
      <c r="F138" s="71"/>
      <c r="G138" s="71"/>
      <c r="J138" s="71"/>
      <c r="K138" s="71"/>
    </row>
    <row r="139" ht="14.25" customHeight="1">
      <c r="F139" s="71"/>
      <c r="G139" s="71"/>
      <c r="J139" s="71"/>
      <c r="K139" s="71"/>
    </row>
    <row r="140" ht="14.25" customHeight="1">
      <c r="F140" s="71"/>
      <c r="G140" s="71"/>
      <c r="J140" s="71"/>
      <c r="K140" s="71"/>
    </row>
    <row r="141" ht="14.25" customHeight="1">
      <c r="F141" s="71"/>
      <c r="G141" s="71"/>
      <c r="J141" s="71"/>
      <c r="K141" s="71"/>
    </row>
    <row r="142" ht="14.25" customHeight="1">
      <c r="F142" s="71"/>
      <c r="G142" s="71"/>
      <c r="J142" s="71"/>
      <c r="K142" s="71"/>
    </row>
    <row r="143" ht="14.25" customHeight="1">
      <c r="F143" s="71"/>
      <c r="G143" s="71"/>
      <c r="J143" s="71"/>
      <c r="K143" s="71"/>
    </row>
    <row r="144" ht="14.25" customHeight="1">
      <c r="F144" s="71"/>
      <c r="G144" s="71"/>
      <c r="J144" s="71"/>
      <c r="K144" s="71"/>
    </row>
    <row r="145" ht="14.25" customHeight="1">
      <c r="F145" s="71"/>
      <c r="G145" s="71"/>
      <c r="J145" s="71"/>
      <c r="K145" s="71"/>
    </row>
    <row r="146" ht="14.25" customHeight="1">
      <c r="F146" s="71"/>
      <c r="G146" s="71"/>
      <c r="J146" s="71"/>
      <c r="K146" s="71"/>
    </row>
    <row r="147" ht="14.25" customHeight="1">
      <c r="F147" s="71"/>
      <c r="G147" s="71"/>
      <c r="J147" s="71"/>
      <c r="K147" s="71"/>
    </row>
    <row r="148" ht="14.25" customHeight="1">
      <c r="F148" s="71"/>
      <c r="G148" s="71"/>
      <c r="J148" s="71"/>
      <c r="K148" s="71"/>
    </row>
    <row r="149" ht="14.25" customHeight="1">
      <c r="F149" s="71"/>
      <c r="G149" s="71"/>
      <c r="J149" s="71"/>
      <c r="K149" s="71"/>
    </row>
    <row r="150" ht="14.25" customHeight="1">
      <c r="F150" s="71"/>
      <c r="G150" s="71"/>
      <c r="J150" s="71"/>
      <c r="K150" s="71"/>
    </row>
    <row r="151" ht="14.25" customHeight="1">
      <c r="F151" s="71"/>
      <c r="G151" s="71"/>
      <c r="J151" s="71"/>
      <c r="K151" s="71"/>
    </row>
    <row r="152" ht="14.25" customHeight="1">
      <c r="F152" s="71"/>
      <c r="G152" s="71"/>
      <c r="J152" s="71"/>
      <c r="K152" s="71"/>
    </row>
    <row r="153" ht="14.25" customHeight="1">
      <c r="F153" s="71"/>
      <c r="G153" s="71"/>
      <c r="J153" s="71"/>
      <c r="K153" s="71"/>
    </row>
    <row r="154" ht="14.25" customHeight="1">
      <c r="F154" s="71"/>
      <c r="G154" s="71"/>
      <c r="J154" s="71"/>
      <c r="K154" s="71"/>
    </row>
    <row r="155" ht="14.25" customHeight="1">
      <c r="F155" s="71"/>
      <c r="G155" s="71"/>
      <c r="J155" s="71"/>
      <c r="K155" s="71"/>
    </row>
    <row r="156" ht="14.25" customHeight="1">
      <c r="F156" s="71"/>
      <c r="G156" s="71"/>
      <c r="J156" s="71"/>
      <c r="K156" s="71"/>
    </row>
    <row r="157" ht="14.25" customHeight="1">
      <c r="F157" s="71"/>
      <c r="G157" s="71"/>
      <c r="J157" s="71"/>
      <c r="K157" s="71"/>
    </row>
    <row r="158" ht="14.25" customHeight="1">
      <c r="F158" s="71"/>
      <c r="G158" s="71"/>
      <c r="J158" s="71"/>
      <c r="K158" s="71"/>
    </row>
    <row r="159" ht="14.25" customHeight="1">
      <c r="F159" s="71"/>
      <c r="G159" s="71"/>
      <c r="J159" s="71"/>
      <c r="K159" s="71"/>
    </row>
    <row r="160" ht="14.25" customHeight="1">
      <c r="F160" s="71"/>
      <c r="G160" s="71"/>
      <c r="J160" s="71"/>
      <c r="K160" s="71"/>
    </row>
    <row r="161" ht="14.25" customHeight="1">
      <c r="F161" s="71"/>
      <c r="G161" s="71"/>
      <c r="J161" s="71"/>
      <c r="K161" s="71"/>
    </row>
    <row r="162" ht="14.25" customHeight="1">
      <c r="F162" s="71"/>
      <c r="G162" s="71"/>
      <c r="J162" s="71"/>
      <c r="K162" s="71"/>
    </row>
    <row r="163" ht="14.25" customHeight="1">
      <c r="F163" s="71"/>
      <c r="G163" s="71"/>
      <c r="J163" s="71"/>
      <c r="K163" s="71"/>
    </row>
    <row r="164" ht="14.25" customHeight="1">
      <c r="F164" s="71"/>
      <c r="G164" s="71"/>
      <c r="J164" s="71"/>
      <c r="K164" s="71"/>
    </row>
    <row r="165" ht="14.25" customHeight="1">
      <c r="F165" s="71"/>
      <c r="G165" s="71"/>
      <c r="J165" s="71"/>
      <c r="K165" s="71"/>
    </row>
    <row r="166" ht="14.25" customHeight="1">
      <c r="F166" s="71"/>
      <c r="G166" s="71"/>
      <c r="J166" s="71"/>
      <c r="K166" s="71"/>
    </row>
    <row r="167" ht="14.25" customHeight="1">
      <c r="F167" s="71"/>
      <c r="G167" s="71"/>
      <c r="J167" s="71"/>
      <c r="K167" s="71"/>
    </row>
    <row r="168" ht="14.25" customHeight="1">
      <c r="F168" s="71"/>
      <c r="G168" s="71"/>
      <c r="J168" s="71"/>
      <c r="K168" s="71"/>
    </row>
    <row r="169" ht="14.25" customHeight="1">
      <c r="F169" s="71"/>
      <c r="G169" s="71"/>
      <c r="J169" s="71"/>
      <c r="K169" s="71"/>
    </row>
    <row r="170" ht="14.25" customHeight="1">
      <c r="F170" s="71"/>
      <c r="G170" s="71"/>
      <c r="J170" s="71"/>
      <c r="K170" s="71"/>
    </row>
    <row r="171" ht="14.25" customHeight="1">
      <c r="F171" s="71"/>
      <c r="G171" s="71"/>
      <c r="J171" s="71"/>
      <c r="K171" s="71"/>
    </row>
    <row r="172" ht="14.25" customHeight="1">
      <c r="F172" s="71"/>
      <c r="G172" s="71"/>
      <c r="J172" s="71"/>
      <c r="K172" s="71"/>
    </row>
    <row r="173" ht="14.25" customHeight="1">
      <c r="F173" s="71"/>
      <c r="G173" s="71"/>
      <c r="J173" s="71"/>
      <c r="K173" s="71"/>
    </row>
    <row r="174" ht="14.25" customHeight="1">
      <c r="F174" s="71"/>
      <c r="G174" s="71"/>
      <c r="J174" s="71"/>
      <c r="K174" s="71"/>
    </row>
    <row r="175" ht="14.25" customHeight="1">
      <c r="F175" s="71"/>
      <c r="G175" s="71"/>
      <c r="J175" s="71"/>
      <c r="K175" s="71"/>
    </row>
    <row r="176" ht="14.25" customHeight="1">
      <c r="F176" s="71"/>
      <c r="G176" s="71"/>
      <c r="J176" s="71"/>
      <c r="K176" s="71"/>
    </row>
    <row r="177" ht="14.25" customHeight="1">
      <c r="F177" s="71"/>
      <c r="G177" s="71"/>
      <c r="J177" s="71"/>
      <c r="K177" s="71"/>
    </row>
    <row r="178" ht="14.25" customHeight="1">
      <c r="F178" s="71"/>
      <c r="G178" s="71"/>
      <c r="J178" s="71"/>
      <c r="K178" s="71"/>
    </row>
    <row r="179" ht="14.25" customHeight="1">
      <c r="F179" s="71"/>
      <c r="G179" s="71"/>
      <c r="J179" s="71"/>
      <c r="K179" s="71"/>
    </row>
    <row r="180" ht="14.25" customHeight="1">
      <c r="F180" s="71"/>
      <c r="G180" s="71"/>
      <c r="J180" s="71"/>
      <c r="K180" s="71"/>
    </row>
    <row r="181" ht="14.25" customHeight="1">
      <c r="F181" s="71"/>
      <c r="G181" s="71"/>
      <c r="J181" s="71"/>
      <c r="K181" s="71"/>
    </row>
    <row r="182" ht="14.25" customHeight="1">
      <c r="F182" s="71"/>
      <c r="G182" s="71"/>
      <c r="J182" s="71"/>
      <c r="K182" s="71"/>
    </row>
    <row r="183" ht="14.25" customHeight="1">
      <c r="F183" s="71"/>
      <c r="G183" s="71"/>
      <c r="J183" s="71"/>
      <c r="K183" s="71"/>
    </row>
    <row r="184" ht="14.25" customHeight="1">
      <c r="F184" s="71"/>
      <c r="G184" s="71"/>
      <c r="J184" s="71"/>
      <c r="K184" s="71"/>
    </row>
    <row r="185" ht="14.25" customHeight="1">
      <c r="F185" s="71"/>
      <c r="G185" s="71"/>
      <c r="J185" s="71"/>
      <c r="K185" s="71"/>
    </row>
    <row r="186" ht="14.25" customHeight="1">
      <c r="F186" s="71"/>
      <c r="G186" s="71"/>
      <c r="J186" s="71"/>
      <c r="K186" s="71"/>
    </row>
    <row r="187" ht="14.25" customHeight="1">
      <c r="F187" s="71"/>
      <c r="G187" s="71"/>
      <c r="J187" s="71"/>
      <c r="K187" s="71"/>
    </row>
    <row r="188" ht="14.25" customHeight="1">
      <c r="F188" s="71"/>
      <c r="G188" s="71"/>
      <c r="J188" s="71"/>
      <c r="K188" s="71"/>
    </row>
    <row r="189" ht="14.25" customHeight="1">
      <c r="F189" s="71"/>
      <c r="G189" s="71"/>
      <c r="J189" s="71"/>
      <c r="K189" s="71"/>
    </row>
    <row r="190" ht="14.25" customHeight="1">
      <c r="F190" s="71"/>
      <c r="G190" s="71"/>
      <c r="J190" s="71"/>
      <c r="K190" s="71"/>
    </row>
    <row r="191" ht="14.25" customHeight="1">
      <c r="F191" s="71"/>
      <c r="G191" s="71"/>
      <c r="J191" s="71"/>
      <c r="K191" s="71"/>
    </row>
    <row r="192" ht="14.25" customHeight="1">
      <c r="F192" s="71"/>
      <c r="G192" s="71"/>
      <c r="J192" s="71"/>
      <c r="K192" s="71"/>
    </row>
    <row r="193" ht="14.25" customHeight="1">
      <c r="F193" s="71"/>
      <c r="G193" s="71"/>
      <c r="J193" s="71"/>
      <c r="K193" s="71"/>
    </row>
    <row r="194" ht="14.25" customHeight="1">
      <c r="F194" s="71"/>
      <c r="G194" s="71"/>
      <c r="J194" s="71"/>
      <c r="K194" s="71"/>
    </row>
    <row r="195" ht="14.25" customHeight="1">
      <c r="F195" s="71"/>
      <c r="G195" s="71"/>
      <c r="J195" s="71"/>
      <c r="K195" s="71"/>
    </row>
    <row r="196" ht="14.25" customHeight="1">
      <c r="F196" s="71"/>
      <c r="G196" s="71"/>
      <c r="J196" s="71"/>
      <c r="K196" s="71"/>
    </row>
    <row r="197" ht="14.25" customHeight="1">
      <c r="F197" s="71"/>
      <c r="G197" s="71"/>
      <c r="J197" s="71"/>
      <c r="K197" s="71"/>
    </row>
    <row r="198" ht="14.25" customHeight="1">
      <c r="F198" s="71"/>
      <c r="G198" s="71"/>
      <c r="J198" s="71"/>
      <c r="K198" s="71"/>
    </row>
    <row r="199" ht="14.25" customHeight="1">
      <c r="F199" s="71"/>
      <c r="G199" s="71"/>
      <c r="J199" s="71"/>
      <c r="K199" s="71"/>
    </row>
    <row r="200" ht="14.25" customHeight="1">
      <c r="F200" s="71"/>
      <c r="G200" s="71"/>
      <c r="J200" s="71"/>
      <c r="K200" s="71"/>
    </row>
    <row r="201" ht="14.25" customHeight="1">
      <c r="F201" s="71"/>
      <c r="G201" s="71"/>
      <c r="J201" s="71"/>
      <c r="K201" s="71"/>
    </row>
    <row r="202" ht="14.25" customHeight="1">
      <c r="F202" s="71"/>
      <c r="G202" s="71"/>
      <c r="J202" s="71"/>
      <c r="K202" s="71"/>
    </row>
    <row r="203" ht="14.25" customHeight="1">
      <c r="F203" s="71"/>
      <c r="G203" s="71"/>
      <c r="J203" s="71"/>
      <c r="K203" s="71"/>
    </row>
    <row r="204" ht="14.25" customHeight="1">
      <c r="F204" s="71"/>
      <c r="G204" s="71"/>
      <c r="J204" s="71"/>
      <c r="K204" s="71"/>
    </row>
    <row r="205" ht="14.25" customHeight="1">
      <c r="F205" s="71"/>
      <c r="G205" s="71"/>
      <c r="J205" s="71"/>
      <c r="K205" s="71"/>
    </row>
    <row r="206" ht="14.25" customHeight="1">
      <c r="F206" s="71"/>
      <c r="G206" s="71"/>
      <c r="J206" s="71"/>
      <c r="K206" s="71"/>
    </row>
    <row r="207" ht="14.25" customHeight="1">
      <c r="F207" s="71"/>
      <c r="G207" s="71"/>
      <c r="J207" s="71"/>
      <c r="K207" s="71"/>
    </row>
    <row r="208" ht="14.25" customHeight="1">
      <c r="F208" s="71"/>
      <c r="G208" s="71"/>
      <c r="J208" s="71"/>
      <c r="K208" s="71"/>
    </row>
    <row r="209" ht="14.25" customHeight="1">
      <c r="F209" s="71"/>
      <c r="G209" s="71"/>
      <c r="J209" s="71"/>
      <c r="K209" s="71"/>
    </row>
    <row r="210" ht="14.25" customHeight="1">
      <c r="F210" s="71"/>
      <c r="G210" s="71"/>
      <c r="J210" s="71"/>
      <c r="K210" s="71"/>
    </row>
    <row r="211" ht="14.25" customHeight="1">
      <c r="F211" s="71"/>
      <c r="G211" s="71"/>
      <c r="J211" s="71"/>
      <c r="K211" s="71"/>
    </row>
    <row r="212" ht="14.25" customHeight="1">
      <c r="F212" s="71"/>
      <c r="G212" s="71"/>
      <c r="J212" s="71"/>
      <c r="K212" s="71"/>
    </row>
    <row r="213" ht="14.25" customHeight="1">
      <c r="F213" s="71"/>
      <c r="G213" s="71"/>
      <c r="J213" s="71"/>
      <c r="K213" s="71"/>
    </row>
    <row r="214" ht="14.25" customHeight="1">
      <c r="F214" s="71"/>
      <c r="G214" s="71"/>
      <c r="J214" s="71"/>
      <c r="K214" s="71"/>
    </row>
    <row r="215" ht="14.25" customHeight="1">
      <c r="F215" s="71"/>
      <c r="G215" s="71"/>
      <c r="J215" s="71"/>
      <c r="K215" s="71"/>
    </row>
    <row r="216" ht="14.25" customHeight="1">
      <c r="F216" s="71"/>
      <c r="G216" s="71"/>
      <c r="J216" s="71"/>
      <c r="K216" s="71"/>
    </row>
    <row r="217" ht="14.25" customHeight="1">
      <c r="F217" s="71"/>
      <c r="G217" s="71"/>
      <c r="J217" s="71"/>
      <c r="K217" s="71"/>
    </row>
    <row r="218" ht="14.25" customHeight="1">
      <c r="F218" s="71"/>
      <c r="G218" s="71"/>
      <c r="J218" s="71"/>
      <c r="K218" s="71"/>
    </row>
    <row r="219" ht="14.25" customHeight="1">
      <c r="F219" s="71"/>
      <c r="G219" s="71"/>
      <c r="J219" s="71"/>
      <c r="K219" s="71"/>
    </row>
    <row r="220" ht="14.25" customHeight="1">
      <c r="F220" s="71"/>
      <c r="G220" s="71"/>
      <c r="J220" s="71"/>
      <c r="K220" s="71"/>
    </row>
    <row r="221" ht="14.25" customHeight="1">
      <c r="F221" s="71"/>
      <c r="G221" s="71"/>
      <c r="J221" s="71"/>
      <c r="K221" s="71"/>
    </row>
    <row r="222" ht="14.25" customHeight="1">
      <c r="F222" s="71"/>
      <c r="G222" s="71"/>
      <c r="J222" s="71"/>
      <c r="K222" s="71"/>
    </row>
    <row r="223" ht="14.25" customHeight="1">
      <c r="F223" s="71"/>
      <c r="G223" s="71"/>
      <c r="J223" s="71"/>
      <c r="K223" s="71"/>
    </row>
    <row r="224" ht="14.25" customHeight="1">
      <c r="F224" s="71"/>
      <c r="G224" s="71"/>
      <c r="J224" s="71"/>
      <c r="K224" s="71"/>
    </row>
    <row r="225" ht="14.25" customHeight="1">
      <c r="F225" s="71"/>
      <c r="G225" s="71"/>
      <c r="J225" s="71"/>
      <c r="K225" s="71"/>
    </row>
    <row r="226" ht="14.25" customHeight="1">
      <c r="F226" s="71"/>
      <c r="G226" s="71"/>
      <c r="J226" s="71"/>
      <c r="K226" s="71"/>
    </row>
    <row r="227" ht="14.25" customHeight="1">
      <c r="F227" s="71"/>
      <c r="G227" s="71"/>
      <c r="J227" s="71"/>
      <c r="K227" s="71"/>
    </row>
    <row r="228" ht="14.25" customHeight="1">
      <c r="F228" s="71"/>
      <c r="G228" s="71"/>
      <c r="J228" s="71"/>
      <c r="K228" s="71"/>
    </row>
    <row r="229" ht="14.25" customHeight="1">
      <c r="F229" s="71"/>
      <c r="G229" s="71"/>
      <c r="J229" s="71"/>
      <c r="K229" s="71"/>
    </row>
    <row r="230" ht="14.25" customHeight="1">
      <c r="F230" s="71"/>
      <c r="G230" s="71"/>
      <c r="J230" s="71"/>
      <c r="K230" s="71"/>
    </row>
    <row r="231" ht="14.25" customHeight="1">
      <c r="F231" s="71"/>
      <c r="G231" s="71"/>
      <c r="J231" s="71"/>
      <c r="K231" s="71"/>
    </row>
    <row r="232" ht="14.25" customHeight="1">
      <c r="F232" s="71"/>
      <c r="G232" s="71"/>
      <c r="J232" s="71"/>
      <c r="K232" s="71"/>
    </row>
    <row r="233" ht="14.25" customHeight="1">
      <c r="F233" s="71"/>
      <c r="G233" s="71"/>
      <c r="J233" s="71"/>
      <c r="K233" s="71"/>
    </row>
    <row r="234" ht="14.25" customHeight="1">
      <c r="F234" s="71"/>
      <c r="G234" s="71"/>
      <c r="J234" s="71"/>
      <c r="K234" s="71"/>
    </row>
    <row r="235" ht="14.25" customHeight="1">
      <c r="F235" s="71"/>
      <c r="G235" s="71"/>
      <c r="J235" s="71"/>
      <c r="K235" s="71"/>
    </row>
    <row r="236" ht="14.25" customHeight="1">
      <c r="F236" s="71"/>
      <c r="G236" s="71"/>
      <c r="J236" s="71"/>
      <c r="K236" s="71"/>
    </row>
    <row r="237" ht="14.25" customHeight="1">
      <c r="F237" s="71"/>
      <c r="G237" s="71"/>
      <c r="J237" s="71"/>
      <c r="K237" s="71"/>
    </row>
    <row r="238" ht="14.25" customHeight="1">
      <c r="F238" s="71"/>
      <c r="G238" s="71"/>
      <c r="J238" s="71"/>
      <c r="K238" s="71"/>
    </row>
    <row r="239" ht="14.25" customHeight="1">
      <c r="F239" s="71"/>
      <c r="G239" s="71"/>
      <c r="J239" s="71"/>
      <c r="K239" s="71"/>
    </row>
    <row r="240" ht="14.25" customHeight="1">
      <c r="F240" s="71"/>
      <c r="G240" s="71"/>
      <c r="J240" s="71"/>
      <c r="K240" s="71"/>
    </row>
    <row r="241" ht="14.25" customHeight="1">
      <c r="F241" s="71"/>
      <c r="G241" s="71"/>
      <c r="J241" s="71"/>
      <c r="K241" s="71"/>
    </row>
    <row r="242" ht="14.25" customHeight="1">
      <c r="F242" s="71"/>
      <c r="G242" s="71"/>
      <c r="J242" s="71"/>
      <c r="K242" s="71"/>
    </row>
    <row r="243" ht="14.25" customHeight="1">
      <c r="F243" s="71"/>
      <c r="G243" s="71"/>
      <c r="J243" s="71"/>
      <c r="K243" s="71"/>
    </row>
    <row r="244" ht="14.25" customHeight="1">
      <c r="F244" s="71"/>
      <c r="G244" s="71"/>
      <c r="J244" s="71"/>
      <c r="K244" s="71"/>
    </row>
    <row r="245" ht="14.25" customHeight="1">
      <c r="F245" s="71"/>
      <c r="G245" s="71"/>
      <c r="J245" s="71"/>
      <c r="K245" s="71"/>
    </row>
    <row r="246" ht="14.25" customHeight="1">
      <c r="F246" s="71"/>
      <c r="G246" s="71"/>
      <c r="J246" s="71"/>
      <c r="K246" s="71"/>
    </row>
    <row r="247" ht="14.25" customHeight="1">
      <c r="F247" s="71"/>
      <c r="G247" s="71"/>
      <c r="J247" s="71"/>
      <c r="K247" s="71"/>
    </row>
    <row r="248" ht="14.25" customHeight="1">
      <c r="F248" s="71"/>
      <c r="G248" s="71"/>
      <c r="J248" s="71"/>
      <c r="K248" s="71"/>
    </row>
    <row r="249" ht="14.25" customHeight="1">
      <c r="F249" s="71"/>
      <c r="G249" s="71"/>
      <c r="J249" s="71"/>
      <c r="K249" s="71"/>
    </row>
    <row r="250" ht="14.25" customHeight="1">
      <c r="F250" s="71"/>
      <c r="G250" s="71"/>
      <c r="J250" s="71"/>
      <c r="K250" s="71"/>
    </row>
    <row r="251" ht="14.25" customHeight="1">
      <c r="F251" s="71"/>
      <c r="G251" s="71"/>
      <c r="J251" s="71"/>
      <c r="K251" s="71"/>
    </row>
    <row r="252" ht="14.25" customHeight="1">
      <c r="F252" s="71"/>
      <c r="G252" s="71"/>
      <c r="J252" s="71"/>
      <c r="K252" s="71"/>
    </row>
    <row r="253" ht="14.25" customHeight="1">
      <c r="F253" s="71"/>
      <c r="G253" s="71"/>
      <c r="J253" s="71"/>
      <c r="K253" s="71"/>
    </row>
    <row r="254" ht="14.25" customHeight="1">
      <c r="F254" s="71"/>
      <c r="G254" s="71"/>
      <c r="J254" s="71"/>
      <c r="K254" s="71"/>
    </row>
    <row r="255" ht="14.25" customHeight="1">
      <c r="F255" s="71"/>
      <c r="G255" s="71"/>
      <c r="J255" s="71"/>
      <c r="K255" s="71"/>
    </row>
    <row r="256" ht="14.25" customHeight="1">
      <c r="F256" s="71"/>
      <c r="G256" s="71"/>
      <c r="J256" s="71"/>
      <c r="K256" s="71"/>
    </row>
    <row r="257" ht="14.25" customHeight="1">
      <c r="F257" s="71"/>
      <c r="G257" s="71"/>
      <c r="J257" s="71"/>
      <c r="K257" s="71"/>
    </row>
    <row r="258" ht="14.25" customHeight="1">
      <c r="F258" s="71"/>
      <c r="G258" s="71"/>
      <c r="J258" s="71"/>
      <c r="K258" s="71"/>
    </row>
    <row r="259" ht="14.25" customHeight="1">
      <c r="F259" s="71"/>
      <c r="G259" s="71"/>
      <c r="J259" s="71"/>
      <c r="K259" s="71"/>
    </row>
    <row r="260" ht="14.25" customHeight="1">
      <c r="F260" s="71"/>
      <c r="G260" s="71"/>
      <c r="J260" s="71"/>
      <c r="K260" s="71"/>
    </row>
    <row r="261" ht="14.25" customHeight="1">
      <c r="F261" s="71"/>
      <c r="G261" s="71"/>
      <c r="J261" s="71"/>
      <c r="K261" s="71"/>
    </row>
    <row r="262" ht="14.25" customHeight="1">
      <c r="F262" s="71"/>
      <c r="G262" s="71"/>
      <c r="J262" s="71"/>
      <c r="K262" s="71"/>
    </row>
    <row r="263" ht="14.25" customHeight="1">
      <c r="F263" s="71"/>
      <c r="G263" s="71"/>
      <c r="J263" s="71"/>
      <c r="K263" s="71"/>
    </row>
    <row r="264" ht="14.25" customHeight="1">
      <c r="F264" s="71"/>
      <c r="G264" s="71"/>
      <c r="J264" s="71"/>
      <c r="K264" s="71"/>
    </row>
    <row r="265" ht="14.25" customHeight="1">
      <c r="F265" s="71"/>
      <c r="G265" s="71"/>
      <c r="J265" s="71"/>
      <c r="K265" s="71"/>
    </row>
    <row r="266" ht="14.25" customHeight="1">
      <c r="F266" s="71"/>
      <c r="G266" s="71"/>
      <c r="J266" s="71"/>
      <c r="K266" s="71"/>
    </row>
    <row r="267" ht="14.25" customHeight="1">
      <c r="F267" s="71"/>
      <c r="G267" s="71"/>
      <c r="J267" s="71"/>
      <c r="K267" s="71"/>
    </row>
    <row r="268" ht="14.25" customHeight="1">
      <c r="F268" s="71"/>
      <c r="G268" s="71"/>
      <c r="J268" s="71"/>
      <c r="K268" s="71"/>
    </row>
    <row r="269" ht="14.25" customHeight="1">
      <c r="F269" s="71"/>
      <c r="G269" s="71"/>
      <c r="J269" s="71"/>
      <c r="K269" s="71"/>
    </row>
    <row r="270" ht="14.25" customHeight="1">
      <c r="F270" s="71"/>
      <c r="G270" s="71"/>
      <c r="J270" s="71"/>
      <c r="K270" s="71"/>
    </row>
    <row r="271" ht="14.25" customHeight="1">
      <c r="F271" s="71"/>
      <c r="G271" s="71"/>
      <c r="J271" s="71"/>
      <c r="K271" s="71"/>
    </row>
    <row r="272" ht="14.25" customHeight="1">
      <c r="F272" s="71"/>
      <c r="G272" s="71"/>
      <c r="J272" s="71"/>
      <c r="K272" s="71"/>
    </row>
    <row r="273" ht="14.25" customHeight="1">
      <c r="F273" s="71"/>
      <c r="G273" s="71"/>
      <c r="J273" s="71"/>
      <c r="K273" s="71"/>
    </row>
    <row r="274" ht="14.25" customHeight="1">
      <c r="F274" s="71"/>
      <c r="G274" s="71"/>
      <c r="J274" s="71"/>
      <c r="K274" s="71"/>
    </row>
    <row r="275" ht="14.25" customHeight="1">
      <c r="F275" s="71"/>
      <c r="G275" s="71"/>
      <c r="J275" s="71"/>
      <c r="K275" s="71"/>
    </row>
    <row r="276" ht="14.25" customHeight="1">
      <c r="F276" s="71"/>
      <c r="G276" s="71"/>
      <c r="J276" s="71"/>
      <c r="K276" s="71"/>
    </row>
    <row r="277" ht="14.25" customHeight="1">
      <c r="F277" s="71"/>
      <c r="G277" s="71"/>
      <c r="J277" s="71"/>
      <c r="K277" s="71"/>
    </row>
    <row r="278" ht="14.25" customHeight="1">
      <c r="F278" s="71"/>
      <c r="G278" s="71"/>
      <c r="J278" s="71"/>
      <c r="K278" s="71"/>
    </row>
    <row r="279" ht="14.25" customHeight="1">
      <c r="F279" s="71"/>
      <c r="G279" s="71"/>
      <c r="J279" s="71"/>
      <c r="K279" s="71"/>
    </row>
    <row r="280" ht="14.25" customHeight="1">
      <c r="F280" s="71"/>
      <c r="G280" s="71"/>
      <c r="J280" s="71"/>
      <c r="K280" s="71"/>
    </row>
    <row r="281" ht="14.25" customHeight="1">
      <c r="F281" s="71"/>
      <c r="G281" s="71"/>
      <c r="J281" s="71"/>
      <c r="K281" s="71"/>
    </row>
    <row r="282" ht="14.25" customHeight="1">
      <c r="F282" s="71"/>
      <c r="G282" s="71"/>
      <c r="J282" s="71"/>
      <c r="K282" s="71"/>
    </row>
    <row r="283" ht="14.25" customHeight="1">
      <c r="F283" s="71"/>
      <c r="G283" s="71"/>
      <c r="J283" s="71"/>
      <c r="K283" s="71"/>
    </row>
    <row r="284" ht="14.25" customHeight="1">
      <c r="F284" s="71"/>
      <c r="G284" s="71"/>
      <c r="J284" s="71"/>
      <c r="K284" s="71"/>
    </row>
    <row r="285" ht="14.25" customHeight="1">
      <c r="F285" s="71"/>
      <c r="G285" s="71"/>
      <c r="J285" s="71"/>
      <c r="K285" s="71"/>
    </row>
    <row r="286" ht="14.25" customHeight="1">
      <c r="F286" s="71"/>
      <c r="G286" s="71"/>
      <c r="J286" s="71"/>
      <c r="K286" s="71"/>
    </row>
    <row r="287" ht="14.25" customHeight="1">
      <c r="F287" s="71"/>
      <c r="G287" s="71"/>
      <c r="J287" s="71"/>
      <c r="K287" s="71"/>
    </row>
    <row r="288" ht="14.25" customHeight="1">
      <c r="F288" s="71"/>
      <c r="G288" s="71"/>
      <c r="J288" s="71"/>
      <c r="K288" s="71"/>
    </row>
    <row r="289" ht="14.25" customHeight="1">
      <c r="F289" s="71"/>
      <c r="G289" s="71"/>
      <c r="J289" s="71"/>
      <c r="K289" s="71"/>
    </row>
    <row r="290" ht="14.25" customHeight="1">
      <c r="F290" s="71"/>
      <c r="G290" s="71"/>
      <c r="J290" s="71"/>
      <c r="K290" s="71"/>
    </row>
    <row r="291" ht="14.25" customHeight="1">
      <c r="F291" s="71"/>
      <c r="G291" s="71"/>
      <c r="J291" s="71"/>
      <c r="K291" s="71"/>
    </row>
    <row r="292" ht="14.25" customHeight="1">
      <c r="F292" s="71"/>
      <c r="G292" s="71"/>
      <c r="J292" s="71"/>
      <c r="K292" s="71"/>
    </row>
    <row r="293" ht="14.25" customHeight="1">
      <c r="F293" s="71"/>
      <c r="G293" s="71"/>
      <c r="J293" s="71"/>
      <c r="K293" s="71"/>
    </row>
    <row r="294" ht="14.25" customHeight="1">
      <c r="F294" s="71"/>
      <c r="G294" s="71"/>
      <c r="J294" s="71"/>
      <c r="K294" s="71"/>
    </row>
    <row r="295" ht="14.25" customHeight="1">
      <c r="F295" s="71"/>
      <c r="G295" s="71"/>
      <c r="J295" s="71"/>
      <c r="K295" s="71"/>
    </row>
    <row r="296" ht="14.25" customHeight="1">
      <c r="F296" s="71"/>
      <c r="G296" s="71"/>
      <c r="J296" s="71"/>
      <c r="K296" s="71"/>
    </row>
    <row r="297" ht="14.25" customHeight="1">
      <c r="F297" s="71"/>
      <c r="G297" s="71"/>
      <c r="J297" s="71"/>
      <c r="K297" s="71"/>
    </row>
    <row r="298" ht="14.25" customHeight="1">
      <c r="F298" s="71"/>
      <c r="G298" s="71"/>
      <c r="J298" s="71"/>
      <c r="K298" s="71"/>
    </row>
    <row r="299" ht="14.25" customHeight="1">
      <c r="F299" s="71"/>
      <c r="G299" s="71"/>
      <c r="J299" s="71"/>
      <c r="K299" s="71"/>
    </row>
    <row r="300" ht="14.25" customHeight="1">
      <c r="F300" s="71"/>
      <c r="G300" s="71"/>
      <c r="J300" s="71"/>
      <c r="K300" s="71"/>
    </row>
    <row r="301" ht="14.25" customHeight="1">
      <c r="F301" s="71"/>
      <c r="G301" s="71"/>
      <c r="J301" s="71"/>
      <c r="K301" s="71"/>
    </row>
    <row r="302" ht="14.25" customHeight="1">
      <c r="F302" s="71"/>
      <c r="G302" s="71"/>
      <c r="J302" s="71"/>
      <c r="K302" s="71"/>
    </row>
    <row r="303" ht="14.25" customHeight="1">
      <c r="F303" s="71"/>
      <c r="G303" s="71"/>
      <c r="J303" s="71"/>
      <c r="K303" s="71"/>
    </row>
    <row r="304" ht="14.25" customHeight="1">
      <c r="F304" s="71"/>
      <c r="G304" s="71"/>
      <c r="J304" s="71"/>
      <c r="K304" s="71"/>
    </row>
    <row r="305" ht="14.25" customHeight="1">
      <c r="F305" s="71"/>
      <c r="G305" s="71"/>
      <c r="J305" s="71"/>
      <c r="K305" s="71"/>
    </row>
    <row r="306" ht="14.25" customHeight="1">
      <c r="F306" s="71"/>
      <c r="G306" s="71"/>
      <c r="J306" s="71"/>
      <c r="K306" s="71"/>
    </row>
    <row r="307" ht="14.25" customHeight="1">
      <c r="F307" s="71"/>
      <c r="G307" s="71"/>
      <c r="J307" s="71"/>
      <c r="K307" s="71"/>
    </row>
    <row r="308" ht="14.25" customHeight="1">
      <c r="F308" s="71"/>
      <c r="G308" s="71"/>
      <c r="J308" s="71"/>
      <c r="K308" s="71"/>
    </row>
    <row r="309" ht="14.25" customHeight="1">
      <c r="F309" s="71"/>
      <c r="G309" s="71"/>
      <c r="J309" s="71"/>
      <c r="K309" s="71"/>
    </row>
    <row r="310" ht="14.25" customHeight="1">
      <c r="F310" s="71"/>
      <c r="G310" s="71"/>
      <c r="J310" s="71"/>
      <c r="K310" s="71"/>
    </row>
    <row r="311" ht="14.25" customHeight="1">
      <c r="F311" s="71"/>
      <c r="G311" s="71"/>
      <c r="J311" s="71"/>
      <c r="K311" s="71"/>
    </row>
    <row r="312" ht="14.25" customHeight="1">
      <c r="F312" s="71"/>
      <c r="G312" s="71"/>
      <c r="J312" s="71"/>
      <c r="K312" s="71"/>
    </row>
    <row r="313" ht="14.25" customHeight="1">
      <c r="F313" s="71"/>
      <c r="G313" s="71"/>
      <c r="J313" s="71"/>
      <c r="K313" s="71"/>
    </row>
    <row r="314" ht="14.25" customHeight="1">
      <c r="F314" s="71"/>
      <c r="G314" s="71"/>
      <c r="J314" s="71"/>
      <c r="K314" s="71"/>
    </row>
    <row r="315" ht="14.25" customHeight="1">
      <c r="F315" s="71"/>
      <c r="G315" s="71"/>
      <c r="J315" s="71"/>
      <c r="K315" s="71"/>
    </row>
    <row r="316" ht="14.25" customHeight="1">
      <c r="F316" s="71"/>
      <c r="G316" s="71"/>
      <c r="J316" s="71"/>
      <c r="K316" s="71"/>
    </row>
    <row r="317" ht="14.25" customHeight="1">
      <c r="F317" s="71"/>
      <c r="G317" s="71"/>
      <c r="J317" s="71"/>
      <c r="K317" s="71"/>
    </row>
    <row r="318" ht="14.25" customHeight="1">
      <c r="F318" s="71"/>
      <c r="G318" s="71"/>
      <c r="J318" s="71"/>
      <c r="K318" s="71"/>
    </row>
    <row r="319" ht="14.25" customHeight="1">
      <c r="F319" s="71"/>
      <c r="G319" s="71"/>
      <c r="J319" s="71"/>
      <c r="K319" s="71"/>
    </row>
    <row r="320" ht="14.25" customHeight="1">
      <c r="F320" s="71"/>
      <c r="G320" s="71"/>
      <c r="J320" s="71"/>
      <c r="K320" s="71"/>
    </row>
    <row r="321" ht="14.25" customHeight="1">
      <c r="F321" s="71"/>
      <c r="G321" s="71"/>
      <c r="J321" s="71"/>
      <c r="K321" s="71"/>
    </row>
    <row r="322" ht="14.25" customHeight="1">
      <c r="F322" s="71"/>
      <c r="G322" s="71"/>
      <c r="J322" s="71"/>
      <c r="K322" s="71"/>
    </row>
    <row r="323" ht="14.25" customHeight="1">
      <c r="F323" s="71"/>
      <c r="G323" s="71"/>
      <c r="J323" s="71"/>
      <c r="K323" s="71"/>
    </row>
    <row r="324" ht="14.25" customHeight="1">
      <c r="F324" s="71"/>
      <c r="G324" s="71"/>
      <c r="J324" s="71"/>
      <c r="K324" s="71"/>
    </row>
    <row r="325" ht="14.25" customHeight="1">
      <c r="F325" s="71"/>
      <c r="G325" s="71"/>
      <c r="J325" s="71"/>
      <c r="K325" s="71"/>
    </row>
    <row r="326" ht="14.25" customHeight="1">
      <c r="F326" s="71"/>
      <c r="G326" s="71"/>
      <c r="J326" s="71"/>
      <c r="K326" s="71"/>
    </row>
    <row r="327" ht="14.25" customHeight="1">
      <c r="F327" s="71"/>
      <c r="G327" s="71"/>
      <c r="J327" s="71"/>
      <c r="K327" s="71"/>
    </row>
    <row r="328" ht="14.25" customHeight="1">
      <c r="F328" s="71"/>
      <c r="G328" s="71"/>
      <c r="J328" s="71"/>
      <c r="K328" s="71"/>
    </row>
    <row r="329" ht="14.25" customHeight="1">
      <c r="F329" s="71"/>
      <c r="G329" s="71"/>
      <c r="J329" s="71"/>
      <c r="K329" s="71"/>
    </row>
    <row r="330" ht="14.25" customHeight="1">
      <c r="F330" s="71"/>
      <c r="G330" s="71"/>
      <c r="J330" s="71"/>
      <c r="K330" s="71"/>
    </row>
    <row r="331" ht="14.25" customHeight="1">
      <c r="F331" s="71"/>
      <c r="G331" s="71"/>
      <c r="J331" s="71"/>
      <c r="K331" s="71"/>
    </row>
    <row r="332" ht="14.25" customHeight="1">
      <c r="F332" s="71"/>
      <c r="G332" s="71"/>
      <c r="J332" s="71"/>
      <c r="K332" s="71"/>
    </row>
    <row r="333" ht="14.25" customHeight="1">
      <c r="F333" s="71"/>
      <c r="G333" s="71"/>
      <c r="J333" s="71"/>
      <c r="K333" s="71"/>
    </row>
    <row r="334" ht="14.25" customHeight="1">
      <c r="F334" s="71"/>
      <c r="G334" s="71"/>
      <c r="J334" s="71"/>
      <c r="K334" s="71"/>
    </row>
    <row r="335" ht="14.25" customHeight="1">
      <c r="F335" s="71"/>
      <c r="G335" s="71"/>
      <c r="J335" s="71"/>
      <c r="K335" s="71"/>
    </row>
    <row r="336" ht="14.25" customHeight="1">
      <c r="F336" s="71"/>
      <c r="G336" s="71"/>
      <c r="J336" s="71"/>
      <c r="K336" s="71"/>
    </row>
    <row r="337" ht="14.25" customHeight="1">
      <c r="F337" s="71"/>
      <c r="G337" s="71"/>
      <c r="J337" s="71"/>
      <c r="K337" s="71"/>
    </row>
    <row r="338" ht="14.25" customHeight="1">
      <c r="F338" s="71"/>
      <c r="G338" s="71"/>
      <c r="J338" s="71"/>
      <c r="K338" s="71"/>
    </row>
    <row r="339" ht="14.25" customHeight="1">
      <c r="F339" s="71"/>
      <c r="G339" s="71"/>
      <c r="J339" s="71"/>
      <c r="K339" s="71"/>
    </row>
    <row r="340" ht="14.25" customHeight="1">
      <c r="F340" s="71"/>
      <c r="G340" s="71"/>
      <c r="J340" s="71"/>
      <c r="K340" s="71"/>
    </row>
    <row r="341" ht="14.25" customHeight="1">
      <c r="F341" s="71"/>
      <c r="G341" s="71"/>
      <c r="J341" s="71"/>
      <c r="K341" s="71"/>
    </row>
    <row r="342" ht="14.25" customHeight="1">
      <c r="F342" s="71"/>
      <c r="G342" s="71"/>
      <c r="J342" s="71"/>
      <c r="K342" s="71"/>
    </row>
    <row r="343" ht="14.25" customHeight="1">
      <c r="F343" s="71"/>
      <c r="G343" s="71"/>
      <c r="J343" s="71"/>
      <c r="K343" s="71"/>
    </row>
    <row r="344" ht="14.25" customHeight="1">
      <c r="F344" s="71"/>
      <c r="G344" s="71"/>
      <c r="J344" s="71"/>
      <c r="K344" s="71"/>
    </row>
    <row r="345" ht="14.25" customHeight="1">
      <c r="F345" s="71"/>
      <c r="G345" s="71"/>
      <c r="J345" s="71"/>
      <c r="K345" s="71"/>
    </row>
    <row r="346" ht="14.25" customHeight="1">
      <c r="F346" s="71"/>
      <c r="G346" s="71"/>
      <c r="J346" s="71"/>
      <c r="K346" s="71"/>
    </row>
    <row r="347" ht="14.25" customHeight="1">
      <c r="F347" s="71"/>
      <c r="G347" s="71"/>
      <c r="J347" s="71"/>
      <c r="K347" s="71"/>
    </row>
    <row r="348" ht="14.25" customHeight="1">
      <c r="F348" s="71"/>
      <c r="G348" s="71"/>
      <c r="J348" s="71"/>
      <c r="K348" s="71"/>
    </row>
    <row r="349" ht="14.25" customHeight="1">
      <c r="F349" s="71"/>
      <c r="G349" s="71"/>
      <c r="J349" s="71"/>
      <c r="K349" s="71"/>
    </row>
    <row r="350" ht="14.25" customHeight="1">
      <c r="F350" s="71"/>
      <c r="G350" s="71"/>
      <c r="J350" s="71"/>
      <c r="K350" s="71"/>
    </row>
    <row r="351" ht="14.25" customHeight="1">
      <c r="F351" s="71"/>
      <c r="G351" s="71"/>
      <c r="J351" s="71"/>
      <c r="K351" s="71"/>
    </row>
    <row r="352" ht="14.25" customHeight="1">
      <c r="F352" s="71"/>
      <c r="G352" s="71"/>
      <c r="J352" s="71"/>
      <c r="K352" s="71"/>
    </row>
    <row r="353" ht="14.25" customHeight="1">
      <c r="F353" s="71"/>
      <c r="G353" s="71"/>
      <c r="J353" s="71"/>
      <c r="K353" s="71"/>
    </row>
    <row r="354" ht="14.25" customHeight="1">
      <c r="F354" s="71"/>
      <c r="G354" s="71"/>
      <c r="J354" s="71"/>
      <c r="K354" s="71"/>
    </row>
    <row r="355" ht="14.25" customHeight="1">
      <c r="F355" s="71"/>
      <c r="G355" s="71"/>
      <c r="J355" s="71"/>
      <c r="K355" s="71"/>
    </row>
    <row r="356" ht="14.25" customHeight="1">
      <c r="F356" s="71"/>
      <c r="G356" s="71"/>
      <c r="J356" s="71"/>
      <c r="K356" s="71"/>
    </row>
    <row r="357" ht="14.25" customHeight="1">
      <c r="F357" s="71"/>
      <c r="G357" s="71"/>
      <c r="J357" s="71"/>
      <c r="K357" s="71"/>
    </row>
    <row r="358" ht="14.25" customHeight="1">
      <c r="F358" s="71"/>
      <c r="G358" s="71"/>
      <c r="J358" s="71"/>
      <c r="K358" s="71"/>
    </row>
    <row r="359" ht="14.25" customHeight="1">
      <c r="F359" s="71"/>
      <c r="G359" s="71"/>
      <c r="J359" s="71"/>
      <c r="K359" s="71"/>
    </row>
    <row r="360" ht="14.25" customHeight="1">
      <c r="F360" s="71"/>
      <c r="G360" s="71"/>
      <c r="J360" s="71"/>
      <c r="K360" s="71"/>
    </row>
    <row r="361" ht="14.25" customHeight="1">
      <c r="F361" s="71"/>
      <c r="G361" s="71"/>
      <c r="J361" s="71"/>
      <c r="K361" s="71"/>
    </row>
    <row r="362" ht="14.25" customHeight="1">
      <c r="F362" s="71"/>
      <c r="G362" s="71"/>
      <c r="J362" s="71"/>
      <c r="K362" s="71"/>
    </row>
    <row r="363" ht="14.25" customHeight="1">
      <c r="F363" s="71"/>
      <c r="G363" s="71"/>
      <c r="J363" s="71"/>
      <c r="K363" s="71"/>
    </row>
    <row r="364" ht="14.25" customHeight="1">
      <c r="F364" s="71"/>
      <c r="G364" s="71"/>
      <c r="J364" s="71"/>
      <c r="K364" s="71"/>
    </row>
    <row r="365" ht="14.25" customHeight="1">
      <c r="F365" s="71"/>
      <c r="G365" s="71"/>
      <c r="J365" s="71"/>
      <c r="K365" s="71"/>
    </row>
    <row r="366" ht="14.25" customHeight="1">
      <c r="F366" s="71"/>
      <c r="G366" s="71"/>
      <c r="J366" s="71"/>
      <c r="K366" s="71"/>
    </row>
    <row r="367" ht="14.25" customHeight="1">
      <c r="F367" s="71"/>
      <c r="G367" s="71"/>
      <c r="J367" s="71"/>
      <c r="K367" s="71"/>
    </row>
    <row r="368" ht="14.25" customHeight="1">
      <c r="F368" s="71"/>
      <c r="G368" s="71"/>
      <c r="J368" s="71"/>
      <c r="K368" s="71"/>
    </row>
    <row r="369" ht="14.25" customHeight="1">
      <c r="F369" s="71"/>
      <c r="G369" s="71"/>
      <c r="J369" s="71"/>
      <c r="K369" s="71"/>
    </row>
    <row r="370" ht="14.25" customHeight="1">
      <c r="F370" s="71"/>
      <c r="G370" s="71"/>
      <c r="J370" s="71"/>
      <c r="K370" s="71"/>
    </row>
    <row r="371" ht="14.25" customHeight="1">
      <c r="F371" s="71"/>
      <c r="G371" s="71"/>
      <c r="J371" s="71"/>
      <c r="K371" s="71"/>
    </row>
    <row r="372" ht="14.25" customHeight="1">
      <c r="F372" s="71"/>
      <c r="G372" s="71"/>
      <c r="J372" s="71"/>
      <c r="K372" s="71"/>
    </row>
    <row r="373" ht="14.25" customHeight="1">
      <c r="F373" s="71"/>
      <c r="G373" s="71"/>
      <c r="J373" s="71"/>
      <c r="K373" s="71"/>
    </row>
    <row r="374" ht="14.25" customHeight="1">
      <c r="F374" s="71"/>
      <c r="G374" s="71"/>
      <c r="J374" s="71"/>
      <c r="K374" s="71"/>
    </row>
    <row r="375" ht="14.25" customHeight="1">
      <c r="F375" s="71"/>
      <c r="G375" s="71"/>
      <c r="J375" s="71"/>
      <c r="K375" s="71"/>
    </row>
    <row r="376" ht="14.25" customHeight="1">
      <c r="F376" s="71"/>
      <c r="G376" s="71"/>
      <c r="J376" s="71"/>
      <c r="K376" s="71"/>
    </row>
    <row r="377" ht="14.25" customHeight="1">
      <c r="F377" s="71"/>
      <c r="G377" s="71"/>
      <c r="J377" s="71"/>
      <c r="K377" s="71"/>
    </row>
    <row r="378" ht="14.25" customHeight="1">
      <c r="F378" s="71"/>
      <c r="G378" s="71"/>
      <c r="J378" s="71"/>
      <c r="K378" s="71"/>
    </row>
    <row r="379" ht="14.25" customHeight="1">
      <c r="F379" s="71"/>
      <c r="G379" s="71"/>
      <c r="J379" s="71"/>
      <c r="K379" s="71"/>
    </row>
    <row r="380" ht="14.25" customHeight="1">
      <c r="F380" s="71"/>
      <c r="G380" s="71"/>
      <c r="J380" s="71"/>
      <c r="K380" s="71"/>
    </row>
    <row r="381" ht="14.25" customHeight="1">
      <c r="F381" s="71"/>
      <c r="G381" s="71"/>
      <c r="J381" s="71"/>
      <c r="K381" s="71"/>
    </row>
    <row r="382" ht="14.25" customHeight="1">
      <c r="F382" s="71"/>
      <c r="G382" s="71"/>
      <c r="J382" s="71"/>
      <c r="K382" s="71"/>
    </row>
    <row r="383" ht="14.25" customHeight="1">
      <c r="F383" s="71"/>
      <c r="G383" s="71"/>
      <c r="J383" s="71"/>
      <c r="K383" s="71"/>
    </row>
    <row r="384" ht="14.25" customHeight="1">
      <c r="F384" s="71"/>
      <c r="G384" s="71"/>
      <c r="J384" s="71"/>
      <c r="K384" s="71"/>
    </row>
    <row r="385" ht="14.25" customHeight="1">
      <c r="F385" s="71"/>
      <c r="G385" s="71"/>
      <c r="J385" s="71"/>
      <c r="K385" s="71"/>
    </row>
    <row r="386" ht="14.25" customHeight="1">
      <c r="F386" s="71"/>
      <c r="G386" s="71"/>
      <c r="J386" s="71"/>
      <c r="K386" s="71"/>
    </row>
    <row r="387" ht="14.25" customHeight="1">
      <c r="F387" s="71"/>
      <c r="G387" s="71"/>
      <c r="J387" s="71"/>
      <c r="K387" s="71"/>
    </row>
    <row r="388" ht="14.25" customHeight="1">
      <c r="F388" s="71"/>
      <c r="G388" s="71"/>
      <c r="J388" s="71"/>
      <c r="K388" s="71"/>
    </row>
    <row r="389" ht="14.25" customHeight="1">
      <c r="F389" s="71"/>
      <c r="G389" s="71"/>
      <c r="J389" s="71"/>
      <c r="K389" s="71"/>
    </row>
    <row r="390" ht="14.25" customHeight="1">
      <c r="F390" s="71"/>
      <c r="G390" s="71"/>
      <c r="J390" s="71"/>
      <c r="K390" s="71"/>
    </row>
    <row r="391" ht="14.25" customHeight="1">
      <c r="F391" s="71"/>
      <c r="G391" s="71"/>
      <c r="J391" s="71"/>
      <c r="K391" s="71"/>
    </row>
    <row r="392" ht="14.25" customHeight="1">
      <c r="F392" s="71"/>
      <c r="G392" s="71"/>
      <c r="J392" s="71"/>
      <c r="K392" s="71"/>
    </row>
    <row r="393" ht="14.25" customHeight="1">
      <c r="F393" s="71"/>
      <c r="G393" s="71"/>
      <c r="J393" s="71"/>
      <c r="K393" s="71"/>
    </row>
    <row r="394" ht="14.25" customHeight="1">
      <c r="F394" s="71"/>
      <c r="G394" s="71"/>
      <c r="J394" s="71"/>
      <c r="K394" s="71"/>
    </row>
    <row r="395" ht="14.25" customHeight="1">
      <c r="F395" s="71"/>
      <c r="G395" s="71"/>
      <c r="J395" s="71"/>
      <c r="K395" s="71"/>
    </row>
    <row r="396" ht="14.25" customHeight="1">
      <c r="F396" s="71"/>
      <c r="G396" s="71"/>
      <c r="J396" s="71"/>
      <c r="K396" s="71"/>
    </row>
    <row r="397" ht="14.25" customHeight="1">
      <c r="F397" s="71"/>
      <c r="G397" s="71"/>
      <c r="J397" s="71"/>
      <c r="K397" s="71"/>
    </row>
    <row r="398" ht="14.25" customHeight="1">
      <c r="F398" s="71"/>
      <c r="G398" s="71"/>
      <c r="J398" s="71"/>
      <c r="K398" s="71"/>
    </row>
    <row r="399" ht="14.25" customHeight="1">
      <c r="F399" s="71"/>
      <c r="G399" s="71"/>
      <c r="J399" s="71"/>
      <c r="K399" s="71"/>
    </row>
    <row r="400" ht="14.25" customHeight="1">
      <c r="F400" s="71"/>
      <c r="G400" s="71"/>
      <c r="J400" s="71"/>
      <c r="K400" s="71"/>
    </row>
    <row r="401" ht="14.25" customHeight="1">
      <c r="F401" s="71"/>
      <c r="G401" s="71"/>
      <c r="J401" s="71"/>
      <c r="K401" s="71"/>
    </row>
    <row r="402" ht="14.25" customHeight="1">
      <c r="F402" s="71"/>
      <c r="G402" s="71"/>
      <c r="J402" s="71"/>
      <c r="K402" s="71"/>
    </row>
    <row r="403" ht="14.25" customHeight="1">
      <c r="F403" s="71"/>
      <c r="G403" s="71"/>
      <c r="J403" s="71"/>
      <c r="K403" s="71"/>
    </row>
    <row r="404" ht="14.25" customHeight="1">
      <c r="F404" s="71"/>
      <c r="G404" s="71"/>
      <c r="J404" s="71"/>
      <c r="K404" s="71"/>
    </row>
    <row r="405" ht="14.25" customHeight="1">
      <c r="F405" s="71"/>
      <c r="G405" s="71"/>
      <c r="J405" s="71"/>
      <c r="K405" s="71"/>
    </row>
    <row r="406" ht="14.25" customHeight="1">
      <c r="F406" s="71"/>
      <c r="G406" s="71"/>
      <c r="J406" s="71"/>
      <c r="K406" s="71"/>
    </row>
    <row r="407" ht="14.25" customHeight="1">
      <c r="F407" s="71"/>
      <c r="G407" s="71"/>
      <c r="J407" s="71"/>
      <c r="K407" s="71"/>
    </row>
    <row r="408" ht="14.25" customHeight="1">
      <c r="F408" s="71"/>
      <c r="G408" s="71"/>
      <c r="J408" s="71"/>
      <c r="K408" s="71"/>
    </row>
    <row r="409" ht="14.25" customHeight="1">
      <c r="F409" s="71"/>
      <c r="G409" s="71"/>
      <c r="J409" s="71"/>
      <c r="K409" s="71"/>
    </row>
    <row r="410" ht="14.25" customHeight="1">
      <c r="F410" s="71"/>
      <c r="G410" s="71"/>
      <c r="J410" s="71"/>
      <c r="K410" s="71"/>
    </row>
    <row r="411" ht="14.25" customHeight="1">
      <c r="F411" s="71"/>
      <c r="G411" s="71"/>
      <c r="J411" s="71"/>
      <c r="K411" s="71"/>
    </row>
    <row r="412" ht="14.25" customHeight="1">
      <c r="F412" s="71"/>
      <c r="G412" s="71"/>
      <c r="J412" s="71"/>
      <c r="K412" s="71"/>
    </row>
    <row r="413" ht="14.25" customHeight="1">
      <c r="F413" s="71"/>
      <c r="G413" s="71"/>
      <c r="J413" s="71"/>
      <c r="K413" s="71"/>
    </row>
    <row r="414" ht="14.25" customHeight="1">
      <c r="F414" s="71"/>
      <c r="G414" s="71"/>
      <c r="J414" s="71"/>
      <c r="K414" s="71"/>
    </row>
    <row r="415" ht="14.25" customHeight="1">
      <c r="F415" s="71"/>
      <c r="G415" s="71"/>
      <c r="J415" s="71"/>
      <c r="K415" s="71"/>
    </row>
    <row r="416" ht="14.25" customHeight="1">
      <c r="F416" s="71"/>
      <c r="G416" s="71"/>
      <c r="J416" s="71"/>
      <c r="K416" s="71"/>
    </row>
    <row r="417" ht="14.25" customHeight="1">
      <c r="F417" s="71"/>
      <c r="G417" s="71"/>
      <c r="J417" s="71"/>
      <c r="K417" s="71"/>
    </row>
    <row r="418" ht="14.25" customHeight="1">
      <c r="F418" s="71"/>
      <c r="G418" s="71"/>
      <c r="J418" s="71"/>
      <c r="K418" s="71"/>
    </row>
    <row r="419" ht="14.25" customHeight="1">
      <c r="F419" s="71"/>
      <c r="G419" s="71"/>
      <c r="J419" s="71"/>
      <c r="K419" s="71"/>
    </row>
    <row r="420" ht="14.25" customHeight="1">
      <c r="F420" s="71"/>
      <c r="G420" s="71"/>
      <c r="J420" s="71"/>
      <c r="K420" s="71"/>
    </row>
    <row r="421" ht="14.25" customHeight="1">
      <c r="F421" s="71"/>
      <c r="G421" s="71"/>
      <c r="J421" s="71"/>
      <c r="K421" s="71"/>
    </row>
    <row r="422" ht="14.25" customHeight="1">
      <c r="F422" s="71"/>
      <c r="G422" s="71"/>
      <c r="J422" s="71"/>
      <c r="K422" s="71"/>
    </row>
    <row r="423" ht="14.25" customHeight="1">
      <c r="F423" s="71"/>
      <c r="G423" s="71"/>
      <c r="J423" s="71"/>
      <c r="K423" s="71"/>
    </row>
    <row r="424" ht="14.25" customHeight="1">
      <c r="F424" s="71"/>
      <c r="G424" s="71"/>
      <c r="J424" s="71"/>
      <c r="K424" s="71"/>
    </row>
    <row r="425" ht="14.25" customHeight="1">
      <c r="F425" s="71"/>
      <c r="G425" s="71"/>
      <c r="J425" s="71"/>
      <c r="K425" s="71"/>
    </row>
    <row r="426" ht="14.25" customHeight="1">
      <c r="F426" s="71"/>
      <c r="G426" s="71"/>
      <c r="J426" s="71"/>
      <c r="K426" s="71"/>
    </row>
    <row r="427" ht="14.25" customHeight="1">
      <c r="F427" s="71"/>
      <c r="G427" s="71"/>
      <c r="J427" s="71"/>
      <c r="K427" s="71"/>
    </row>
    <row r="428" ht="14.25" customHeight="1">
      <c r="F428" s="71"/>
      <c r="G428" s="71"/>
      <c r="J428" s="71"/>
      <c r="K428" s="71"/>
    </row>
    <row r="429" ht="14.25" customHeight="1">
      <c r="F429" s="71"/>
      <c r="G429" s="71"/>
      <c r="J429" s="71"/>
      <c r="K429" s="71"/>
    </row>
    <row r="430" ht="14.25" customHeight="1">
      <c r="F430" s="71"/>
      <c r="G430" s="71"/>
      <c r="J430" s="71"/>
      <c r="K430" s="71"/>
    </row>
    <row r="431" ht="14.25" customHeight="1">
      <c r="F431" s="71"/>
      <c r="G431" s="71"/>
      <c r="J431" s="71"/>
      <c r="K431" s="71"/>
    </row>
    <row r="432" ht="14.25" customHeight="1">
      <c r="F432" s="71"/>
      <c r="G432" s="71"/>
      <c r="J432" s="71"/>
      <c r="K432" s="71"/>
    </row>
    <row r="433" ht="14.25" customHeight="1">
      <c r="F433" s="71"/>
      <c r="G433" s="71"/>
      <c r="J433" s="71"/>
      <c r="K433" s="71"/>
    </row>
    <row r="434" ht="14.25" customHeight="1">
      <c r="F434" s="71"/>
      <c r="G434" s="71"/>
      <c r="J434" s="71"/>
      <c r="K434" s="71"/>
    </row>
    <row r="435" ht="14.25" customHeight="1">
      <c r="F435" s="71"/>
      <c r="G435" s="71"/>
      <c r="J435" s="71"/>
      <c r="K435" s="71"/>
    </row>
    <row r="436" ht="14.25" customHeight="1">
      <c r="F436" s="71"/>
      <c r="G436" s="71"/>
      <c r="J436" s="71"/>
      <c r="K436" s="71"/>
    </row>
    <row r="437" ht="14.25" customHeight="1">
      <c r="F437" s="71"/>
      <c r="G437" s="71"/>
      <c r="J437" s="71"/>
      <c r="K437" s="71"/>
    </row>
    <row r="438" ht="14.25" customHeight="1">
      <c r="F438" s="71"/>
      <c r="G438" s="71"/>
      <c r="J438" s="71"/>
      <c r="K438" s="71"/>
    </row>
    <row r="439" ht="14.25" customHeight="1">
      <c r="F439" s="71"/>
      <c r="G439" s="71"/>
      <c r="J439" s="71"/>
      <c r="K439" s="71"/>
    </row>
    <row r="440" ht="14.25" customHeight="1">
      <c r="F440" s="71"/>
      <c r="G440" s="71"/>
      <c r="J440" s="71"/>
      <c r="K440" s="71"/>
    </row>
    <row r="441" ht="14.25" customHeight="1">
      <c r="F441" s="71"/>
      <c r="G441" s="71"/>
      <c r="J441" s="71"/>
      <c r="K441" s="71"/>
    </row>
    <row r="442" ht="14.25" customHeight="1">
      <c r="F442" s="71"/>
      <c r="G442" s="71"/>
      <c r="J442" s="71"/>
      <c r="K442" s="71"/>
    </row>
    <row r="443" ht="14.25" customHeight="1">
      <c r="F443" s="71"/>
      <c r="G443" s="71"/>
      <c r="J443" s="71"/>
      <c r="K443" s="71"/>
    </row>
    <row r="444" ht="14.25" customHeight="1">
      <c r="F444" s="71"/>
      <c r="G444" s="71"/>
      <c r="J444" s="71"/>
      <c r="K444" s="71"/>
    </row>
    <row r="445" ht="14.25" customHeight="1">
      <c r="F445" s="71"/>
      <c r="G445" s="71"/>
      <c r="J445" s="71"/>
      <c r="K445" s="71"/>
    </row>
    <row r="446" ht="14.25" customHeight="1">
      <c r="F446" s="71"/>
      <c r="G446" s="71"/>
      <c r="J446" s="71"/>
      <c r="K446" s="71"/>
    </row>
    <row r="447" ht="14.25" customHeight="1">
      <c r="F447" s="71"/>
      <c r="G447" s="71"/>
      <c r="J447" s="71"/>
      <c r="K447" s="71"/>
    </row>
    <row r="448" ht="14.25" customHeight="1">
      <c r="F448" s="71"/>
      <c r="G448" s="71"/>
      <c r="J448" s="71"/>
      <c r="K448" s="71"/>
    </row>
    <row r="449" ht="14.25" customHeight="1">
      <c r="F449" s="71"/>
      <c r="G449" s="71"/>
      <c r="J449" s="71"/>
      <c r="K449" s="71"/>
    </row>
    <row r="450" ht="14.25" customHeight="1">
      <c r="F450" s="71"/>
      <c r="G450" s="71"/>
      <c r="J450" s="71"/>
      <c r="K450" s="71"/>
    </row>
    <row r="451" ht="14.25" customHeight="1">
      <c r="F451" s="71"/>
      <c r="G451" s="71"/>
      <c r="J451" s="71"/>
      <c r="K451" s="71"/>
    </row>
    <row r="452" ht="14.25" customHeight="1">
      <c r="F452" s="71"/>
      <c r="G452" s="71"/>
      <c r="J452" s="71"/>
      <c r="K452" s="71"/>
    </row>
    <row r="453" ht="14.25" customHeight="1">
      <c r="F453" s="71"/>
      <c r="G453" s="71"/>
      <c r="J453" s="71"/>
      <c r="K453" s="71"/>
    </row>
    <row r="454" ht="14.25" customHeight="1">
      <c r="F454" s="71"/>
      <c r="G454" s="71"/>
      <c r="J454" s="71"/>
      <c r="K454" s="71"/>
    </row>
    <row r="455" ht="14.25" customHeight="1">
      <c r="F455" s="71"/>
      <c r="G455" s="71"/>
      <c r="J455" s="71"/>
      <c r="K455" s="71"/>
    </row>
    <row r="456" ht="14.25" customHeight="1">
      <c r="F456" s="71"/>
      <c r="G456" s="71"/>
      <c r="J456" s="71"/>
      <c r="K456" s="71"/>
    </row>
    <row r="457" ht="14.25" customHeight="1">
      <c r="F457" s="71"/>
      <c r="G457" s="71"/>
      <c r="J457" s="71"/>
      <c r="K457" s="71"/>
    </row>
    <row r="458" ht="14.25" customHeight="1">
      <c r="F458" s="71"/>
      <c r="G458" s="71"/>
      <c r="J458" s="71"/>
      <c r="K458" s="71"/>
    </row>
    <row r="459" ht="14.25" customHeight="1">
      <c r="F459" s="71"/>
      <c r="G459" s="71"/>
      <c r="J459" s="71"/>
      <c r="K459" s="71"/>
    </row>
    <row r="460" ht="14.25" customHeight="1">
      <c r="F460" s="71"/>
      <c r="G460" s="71"/>
      <c r="J460" s="71"/>
      <c r="K460" s="71"/>
    </row>
    <row r="461" ht="14.25" customHeight="1">
      <c r="F461" s="71"/>
      <c r="G461" s="71"/>
      <c r="J461" s="71"/>
      <c r="K461" s="71"/>
    </row>
    <row r="462" ht="14.25" customHeight="1">
      <c r="F462" s="71"/>
      <c r="G462" s="71"/>
      <c r="J462" s="71"/>
      <c r="K462" s="71"/>
    </row>
    <row r="463" ht="14.25" customHeight="1">
      <c r="F463" s="71"/>
      <c r="G463" s="71"/>
      <c r="J463" s="71"/>
      <c r="K463" s="71"/>
    </row>
    <row r="464" ht="14.25" customHeight="1">
      <c r="F464" s="71"/>
      <c r="G464" s="71"/>
      <c r="J464" s="71"/>
      <c r="K464" s="71"/>
    </row>
    <row r="465" ht="14.25" customHeight="1">
      <c r="F465" s="71"/>
      <c r="G465" s="71"/>
      <c r="J465" s="71"/>
      <c r="K465" s="71"/>
    </row>
    <row r="466" ht="14.25" customHeight="1">
      <c r="F466" s="71"/>
      <c r="G466" s="71"/>
      <c r="J466" s="71"/>
      <c r="K466" s="71"/>
    </row>
    <row r="467" ht="14.25" customHeight="1">
      <c r="F467" s="71"/>
      <c r="G467" s="71"/>
      <c r="J467" s="71"/>
      <c r="K467" s="71"/>
    </row>
    <row r="468" ht="14.25" customHeight="1">
      <c r="F468" s="71"/>
      <c r="G468" s="71"/>
      <c r="J468" s="71"/>
      <c r="K468" s="71"/>
    </row>
    <row r="469" ht="14.25" customHeight="1">
      <c r="F469" s="71"/>
      <c r="G469" s="71"/>
      <c r="J469" s="71"/>
      <c r="K469" s="71"/>
    </row>
    <row r="470" ht="14.25" customHeight="1">
      <c r="F470" s="71"/>
      <c r="G470" s="71"/>
      <c r="J470" s="71"/>
      <c r="K470" s="71"/>
    </row>
    <row r="471" ht="14.25" customHeight="1">
      <c r="F471" s="71"/>
      <c r="G471" s="71"/>
      <c r="J471" s="71"/>
      <c r="K471" s="71"/>
    </row>
    <row r="472" ht="14.25" customHeight="1">
      <c r="F472" s="71"/>
      <c r="G472" s="71"/>
      <c r="J472" s="71"/>
      <c r="K472" s="71"/>
    </row>
    <row r="473" ht="14.25" customHeight="1">
      <c r="F473" s="71"/>
      <c r="G473" s="71"/>
      <c r="J473" s="71"/>
      <c r="K473" s="71"/>
    </row>
    <row r="474" ht="14.25" customHeight="1">
      <c r="F474" s="71"/>
      <c r="G474" s="71"/>
      <c r="J474" s="71"/>
      <c r="K474" s="71"/>
    </row>
    <row r="475" ht="14.25" customHeight="1">
      <c r="F475" s="71"/>
      <c r="G475" s="71"/>
      <c r="J475" s="71"/>
      <c r="K475" s="71"/>
    </row>
    <row r="476" ht="14.25" customHeight="1">
      <c r="F476" s="71"/>
      <c r="G476" s="71"/>
      <c r="J476" s="71"/>
      <c r="K476" s="71"/>
    </row>
    <row r="477" ht="14.25" customHeight="1">
      <c r="F477" s="71"/>
      <c r="G477" s="71"/>
      <c r="J477" s="71"/>
      <c r="K477" s="71"/>
    </row>
    <row r="478" ht="14.25" customHeight="1">
      <c r="F478" s="71"/>
      <c r="G478" s="71"/>
      <c r="J478" s="71"/>
      <c r="K478" s="71"/>
    </row>
    <row r="479" ht="14.25" customHeight="1">
      <c r="F479" s="71"/>
      <c r="G479" s="71"/>
      <c r="J479" s="71"/>
      <c r="K479" s="71"/>
    </row>
    <row r="480" ht="14.25" customHeight="1">
      <c r="F480" s="71"/>
      <c r="G480" s="71"/>
      <c r="J480" s="71"/>
      <c r="K480" s="71"/>
    </row>
    <row r="481" ht="14.25" customHeight="1">
      <c r="F481" s="71"/>
      <c r="G481" s="71"/>
      <c r="J481" s="71"/>
      <c r="K481" s="71"/>
    </row>
    <row r="482" ht="14.25" customHeight="1">
      <c r="F482" s="71"/>
      <c r="G482" s="71"/>
      <c r="J482" s="71"/>
      <c r="K482" s="71"/>
    </row>
    <row r="483" ht="14.25" customHeight="1">
      <c r="F483" s="71"/>
      <c r="G483" s="71"/>
      <c r="J483" s="71"/>
      <c r="K483" s="71"/>
    </row>
    <row r="484" ht="14.25" customHeight="1">
      <c r="F484" s="71"/>
      <c r="G484" s="71"/>
      <c r="J484" s="71"/>
      <c r="K484" s="71"/>
    </row>
    <row r="485" ht="14.25" customHeight="1">
      <c r="F485" s="71"/>
      <c r="G485" s="71"/>
      <c r="J485" s="71"/>
      <c r="K485" s="71"/>
    </row>
    <row r="486" ht="14.25" customHeight="1">
      <c r="F486" s="71"/>
      <c r="G486" s="71"/>
      <c r="J486" s="71"/>
      <c r="K486" s="71"/>
    </row>
    <row r="487" ht="14.25" customHeight="1">
      <c r="F487" s="71"/>
      <c r="G487" s="71"/>
      <c r="J487" s="71"/>
      <c r="K487" s="71"/>
    </row>
    <row r="488" ht="14.25" customHeight="1">
      <c r="F488" s="71"/>
      <c r="G488" s="71"/>
      <c r="J488" s="71"/>
      <c r="K488" s="71"/>
    </row>
    <row r="489" ht="14.25" customHeight="1">
      <c r="F489" s="71"/>
      <c r="G489" s="71"/>
      <c r="J489" s="71"/>
      <c r="K489" s="71"/>
    </row>
    <row r="490" ht="14.25" customHeight="1">
      <c r="F490" s="71"/>
      <c r="G490" s="71"/>
      <c r="J490" s="71"/>
      <c r="K490" s="71"/>
    </row>
    <row r="491" ht="14.25" customHeight="1">
      <c r="F491" s="71"/>
      <c r="G491" s="71"/>
      <c r="J491" s="71"/>
      <c r="K491" s="71"/>
    </row>
    <row r="492" ht="14.25" customHeight="1">
      <c r="F492" s="71"/>
      <c r="G492" s="71"/>
      <c r="J492" s="71"/>
      <c r="K492" s="71"/>
    </row>
    <row r="493" ht="14.25" customHeight="1">
      <c r="F493" s="71"/>
      <c r="G493" s="71"/>
      <c r="J493" s="71"/>
      <c r="K493" s="71"/>
    </row>
    <row r="494" ht="14.25" customHeight="1">
      <c r="F494" s="71"/>
      <c r="G494" s="71"/>
      <c r="J494" s="71"/>
      <c r="K494" s="71"/>
    </row>
    <row r="495" ht="14.25" customHeight="1">
      <c r="F495" s="71"/>
      <c r="G495" s="71"/>
      <c r="J495" s="71"/>
      <c r="K495" s="71"/>
    </row>
    <row r="496" ht="14.25" customHeight="1">
      <c r="F496" s="71"/>
      <c r="G496" s="71"/>
      <c r="J496" s="71"/>
      <c r="K496" s="71"/>
    </row>
    <row r="497" ht="14.25" customHeight="1">
      <c r="F497" s="71"/>
      <c r="G497" s="71"/>
      <c r="J497" s="71"/>
      <c r="K497" s="71"/>
    </row>
    <row r="498" ht="14.25" customHeight="1">
      <c r="F498" s="71"/>
      <c r="G498" s="71"/>
      <c r="J498" s="71"/>
      <c r="K498" s="71"/>
    </row>
    <row r="499" ht="14.25" customHeight="1">
      <c r="F499" s="71"/>
      <c r="G499" s="71"/>
      <c r="J499" s="71"/>
      <c r="K499" s="71"/>
    </row>
    <row r="500" ht="14.25" customHeight="1">
      <c r="F500" s="71"/>
      <c r="G500" s="71"/>
      <c r="J500" s="71"/>
      <c r="K500" s="71"/>
    </row>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K5:K500">
      <formula1>"Submitted,Approved,Rejected"</formula1>
    </dataValidation>
    <dataValidation type="list" allowBlank="1" showErrorMessage="1" sqref="C5:C35">
      <formula1>"DucNH,HungPV,AnhNTK,HieuND,HungTQV"</formula1>
    </dataValidation>
    <dataValidation type="list" allowBlank="1" sqref="J5:J500">
      <formula1>"Iteration 1,Iteration 2,Iteration 3,General"</formula1>
    </dataValidation>
    <dataValidation type="list" allowBlank="1" sqref="G5:G500">
      <formula1>"Newly-Created,Updating,Reviewing,Bug-Fix,Research"</formula1>
    </dataValidation>
    <dataValidation type="list" allowBlank="1" sqref="F5:F500">
      <formula1>"Training,Analyzing,Designing,Coding,Testing,Reviewing,Deploying,Meeting"</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14.14"/>
    <col customWidth="1" min="2" max="2" width="12.0"/>
    <col collapsed="1" customWidth="1" min="3" max="3" width="42.43"/>
    <col customWidth="1" hidden="1" min="4" max="4" width="28.0" outlineLevel="1"/>
    <col customWidth="1" hidden="1" min="5" max="6" width="22.0" outlineLevel="1"/>
    <col customWidth="1" min="7" max="7" width="12.0"/>
    <col customWidth="1" min="8" max="8" width="10.0"/>
    <col customWidth="1" min="9" max="9" width="14.0"/>
    <col customWidth="1" hidden="1" min="10" max="10" width="16.0" outlineLevel="1"/>
    <col customWidth="1" hidden="1" min="11" max="11" width="18.0" outlineLevel="1"/>
    <col customWidth="1" min="12" max="13" width="14.0"/>
    <col customWidth="1" min="14" max="14" width="12.0"/>
    <col customWidth="1" hidden="1" min="15" max="15" width="12.0" outlineLevel="1"/>
    <col customWidth="1" hidden="1" min="16" max="16" width="16.0" outlineLevel="1"/>
    <col customWidth="1" min="17" max="17" width="12.0"/>
    <col customWidth="1" min="18" max="18" width="26.0"/>
    <col customWidth="1" min="19" max="26" width="8.71"/>
  </cols>
  <sheetData>
    <row r="1" ht="14.25" customHeight="1">
      <c r="A1" s="4" t="s">
        <v>337</v>
      </c>
      <c r="S1" s="1"/>
      <c r="T1" s="1"/>
      <c r="U1" s="1"/>
      <c r="V1" s="1"/>
      <c r="W1" s="1"/>
      <c r="X1" s="1"/>
      <c r="Y1" s="1"/>
      <c r="Z1" s="1"/>
    </row>
    <row r="2" ht="14.25" customHeight="1">
      <c r="A2" s="10" t="s">
        <v>340</v>
      </c>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90" t="s">
        <v>7</v>
      </c>
      <c r="B4" s="90" t="s">
        <v>344</v>
      </c>
      <c r="C4" s="90" t="s">
        <v>345</v>
      </c>
      <c r="D4" s="90" t="s">
        <v>346</v>
      </c>
      <c r="E4" s="90" t="s">
        <v>347</v>
      </c>
      <c r="F4" s="90" t="s">
        <v>348</v>
      </c>
      <c r="G4" s="90" t="s">
        <v>349</v>
      </c>
      <c r="H4" s="90" t="s">
        <v>21</v>
      </c>
      <c r="I4" s="90" t="s">
        <v>281</v>
      </c>
      <c r="J4" s="90" t="s">
        <v>350</v>
      </c>
      <c r="K4" s="90" t="s">
        <v>353</v>
      </c>
      <c r="L4" s="90" t="s">
        <v>354</v>
      </c>
      <c r="M4" s="90" t="s">
        <v>355</v>
      </c>
      <c r="N4" s="90" t="s">
        <v>16</v>
      </c>
      <c r="O4" s="90" t="s">
        <v>357</v>
      </c>
      <c r="P4" s="90" t="s">
        <v>358</v>
      </c>
      <c r="Q4" s="90" t="s">
        <v>286</v>
      </c>
      <c r="R4" s="90" t="s">
        <v>24</v>
      </c>
      <c r="S4" s="1"/>
      <c r="T4" s="1"/>
      <c r="U4" s="1"/>
      <c r="V4" s="1"/>
      <c r="W4" s="1"/>
      <c r="X4" s="1"/>
      <c r="Y4" s="1"/>
      <c r="Z4" s="1"/>
    </row>
    <row r="5" ht="14.25" customHeight="1">
      <c r="A5" s="91" t="s">
        <v>359</v>
      </c>
      <c r="B5" s="92" t="s">
        <v>360</v>
      </c>
      <c r="C5" s="93" t="s">
        <v>363</v>
      </c>
      <c r="D5" s="93" t="s">
        <v>365</v>
      </c>
      <c r="E5" s="93" t="s">
        <v>367</v>
      </c>
      <c r="F5" s="93" t="s">
        <v>368</v>
      </c>
      <c r="G5" s="92" t="s">
        <v>369</v>
      </c>
      <c r="H5" s="92" t="s">
        <v>369</v>
      </c>
      <c r="I5" s="92" t="s">
        <v>370</v>
      </c>
      <c r="J5" s="94" t="s">
        <v>298</v>
      </c>
      <c r="K5" s="95"/>
      <c r="L5" s="94" t="s">
        <v>39</v>
      </c>
      <c r="M5" s="94" t="s">
        <v>76</v>
      </c>
      <c r="N5" s="92" t="s">
        <v>47</v>
      </c>
      <c r="O5" s="95"/>
      <c r="P5" s="95"/>
      <c r="Q5" s="92" t="s">
        <v>301</v>
      </c>
      <c r="R5" s="94" t="s">
        <v>374</v>
      </c>
      <c r="S5" s="1"/>
      <c r="T5" s="1"/>
      <c r="U5" s="1"/>
      <c r="V5" s="1"/>
      <c r="W5" s="1"/>
      <c r="X5" s="1"/>
      <c r="Y5" s="1"/>
      <c r="Z5" s="1"/>
    </row>
    <row r="6" ht="14.25" customHeight="1">
      <c r="A6" s="91" t="s">
        <v>375</v>
      </c>
      <c r="B6" s="96" t="s">
        <v>360</v>
      </c>
      <c r="C6" s="97" t="s">
        <v>377</v>
      </c>
      <c r="D6" s="97" t="s">
        <v>380</v>
      </c>
      <c r="E6" s="97" t="s">
        <v>381</v>
      </c>
      <c r="F6" s="97" t="s">
        <v>382</v>
      </c>
      <c r="G6" s="92" t="s">
        <v>369</v>
      </c>
      <c r="H6" s="92" t="s">
        <v>369</v>
      </c>
      <c r="I6" s="96" t="s">
        <v>370</v>
      </c>
      <c r="J6" s="97" t="s">
        <v>298</v>
      </c>
      <c r="K6" s="97" t="s">
        <v>384</v>
      </c>
      <c r="L6" s="97" t="s">
        <v>385</v>
      </c>
      <c r="M6" s="50"/>
      <c r="N6" s="92" t="s">
        <v>47</v>
      </c>
      <c r="O6" s="50"/>
      <c r="P6" s="50"/>
      <c r="Q6" s="50"/>
      <c r="R6" s="97" t="s">
        <v>388</v>
      </c>
      <c r="S6" s="1"/>
      <c r="T6" s="1"/>
      <c r="U6" s="1"/>
      <c r="V6" s="1"/>
      <c r="W6" s="1"/>
      <c r="X6" s="1"/>
      <c r="Y6" s="1"/>
      <c r="Z6" s="1"/>
    </row>
    <row r="7" ht="14.25" customHeight="1">
      <c r="A7" s="91" t="s">
        <v>389</v>
      </c>
      <c r="B7" s="92" t="s">
        <v>360</v>
      </c>
      <c r="C7" s="94" t="s">
        <v>391</v>
      </c>
      <c r="D7" s="94" t="s">
        <v>392</v>
      </c>
      <c r="E7" s="94" t="s">
        <v>393</v>
      </c>
      <c r="F7" s="94" t="s">
        <v>394</v>
      </c>
      <c r="G7" s="92" t="s">
        <v>395</v>
      </c>
      <c r="H7" s="92" t="s">
        <v>369</v>
      </c>
      <c r="I7" s="92" t="s">
        <v>370</v>
      </c>
      <c r="J7" s="94" t="s">
        <v>298</v>
      </c>
      <c r="K7" s="94" t="s">
        <v>397</v>
      </c>
      <c r="L7" s="94" t="s">
        <v>385</v>
      </c>
      <c r="M7" s="95"/>
      <c r="N7" s="92" t="s">
        <v>47</v>
      </c>
      <c r="O7" s="95"/>
      <c r="P7" s="95"/>
      <c r="Q7" s="95"/>
      <c r="R7" s="94" t="s">
        <v>401</v>
      </c>
      <c r="S7" s="1"/>
      <c r="T7" s="1"/>
      <c r="U7" s="1"/>
      <c r="V7" s="1"/>
      <c r="W7" s="1"/>
      <c r="X7" s="1"/>
      <c r="Y7" s="1"/>
      <c r="Z7" s="1"/>
    </row>
    <row r="8" ht="177.0" customHeight="1">
      <c r="A8" s="91" t="s">
        <v>402</v>
      </c>
      <c r="B8" s="96" t="s">
        <v>360</v>
      </c>
      <c r="C8" s="97" t="s">
        <v>403</v>
      </c>
      <c r="D8" s="97" t="s">
        <v>404</v>
      </c>
      <c r="E8" s="97" t="s">
        <v>405</v>
      </c>
      <c r="F8" s="97" t="s">
        <v>406</v>
      </c>
      <c r="G8" s="92" t="s">
        <v>369</v>
      </c>
      <c r="H8" s="92" t="s">
        <v>369</v>
      </c>
      <c r="I8" s="96" t="s">
        <v>370</v>
      </c>
      <c r="J8" s="97" t="s">
        <v>298</v>
      </c>
      <c r="K8" s="97" t="s">
        <v>409</v>
      </c>
      <c r="L8" s="97" t="s">
        <v>385</v>
      </c>
      <c r="M8" s="50"/>
      <c r="N8" s="98" t="s">
        <v>413</v>
      </c>
      <c r="O8" s="50" t="s">
        <v>414</v>
      </c>
      <c r="P8" s="50"/>
      <c r="Q8" s="50" t="s">
        <v>414</v>
      </c>
      <c r="R8" s="97" t="s">
        <v>416</v>
      </c>
      <c r="S8" s="1"/>
      <c r="T8" s="1"/>
      <c r="U8" s="1"/>
      <c r="V8" s="1"/>
      <c r="W8" s="1"/>
      <c r="X8" s="1"/>
      <c r="Y8" s="1"/>
      <c r="Z8" s="1"/>
    </row>
    <row r="9" ht="14.25" customHeight="1">
      <c r="A9" s="91" t="s">
        <v>417</v>
      </c>
      <c r="B9" s="92" t="s">
        <v>360</v>
      </c>
      <c r="C9" s="94" t="s">
        <v>418</v>
      </c>
      <c r="D9" s="94" t="s">
        <v>420</v>
      </c>
      <c r="E9" s="94" t="s">
        <v>421</v>
      </c>
      <c r="F9" s="94" t="s">
        <v>423</v>
      </c>
      <c r="G9" s="99" t="s">
        <v>43</v>
      </c>
      <c r="H9" s="99" t="s">
        <v>43</v>
      </c>
      <c r="I9" s="92" t="s">
        <v>370</v>
      </c>
      <c r="J9" s="94" t="s">
        <v>298</v>
      </c>
      <c r="K9" s="94" t="s">
        <v>426</v>
      </c>
      <c r="L9" s="94" t="s">
        <v>385</v>
      </c>
      <c r="M9" s="95"/>
      <c r="N9" s="92" t="s">
        <v>47</v>
      </c>
      <c r="O9" s="95"/>
      <c r="P9" s="95"/>
      <c r="Q9" s="95"/>
      <c r="R9" s="94" t="s">
        <v>427</v>
      </c>
      <c r="S9" s="1"/>
      <c r="T9" s="1"/>
      <c r="U9" s="1"/>
      <c r="V9" s="1"/>
      <c r="W9" s="1"/>
      <c r="X9" s="1"/>
      <c r="Y9" s="1"/>
      <c r="Z9" s="1"/>
    </row>
    <row r="10" ht="14.25" customHeight="1">
      <c r="A10" s="91" t="s">
        <v>429</v>
      </c>
      <c r="B10" s="96" t="s">
        <v>360</v>
      </c>
      <c r="C10" s="97" t="s">
        <v>431</v>
      </c>
      <c r="D10" s="97" t="s">
        <v>432</v>
      </c>
      <c r="E10" s="97" t="s">
        <v>433</v>
      </c>
      <c r="F10" s="97" t="s">
        <v>435</v>
      </c>
      <c r="G10" s="99" t="s">
        <v>43</v>
      </c>
      <c r="H10" s="99" t="s">
        <v>43</v>
      </c>
      <c r="I10" s="96" t="s">
        <v>370</v>
      </c>
      <c r="J10" s="97" t="s">
        <v>298</v>
      </c>
      <c r="K10" s="97" t="s">
        <v>437</v>
      </c>
      <c r="L10" s="97" t="s">
        <v>385</v>
      </c>
      <c r="M10" s="50"/>
      <c r="N10" s="92" t="s">
        <v>47</v>
      </c>
      <c r="O10" s="50"/>
      <c r="P10" s="50"/>
      <c r="Q10" s="50"/>
      <c r="R10" s="97" t="s">
        <v>442</v>
      </c>
      <c r="S10" s="1"/>
      <c r="T10" s="1"/>
      <c r="U10" s="1"/>
      <c r="V10" s="1"/>
      <c r="W10" s="1"/>
      <c r="X10" s="1"/>
      <c r="Y10" s="1"/>
      <c r="Z10" s="1"/>
    </row>
    <row r="11" ht="129.75" customHeight="1">
      <c r="A11" s="91" t="s">
        <v>443</v>
      </c>
      <c r="B11" s="92" t="s">
        <v>444</v>
      </c>
      <c r="C11" s="94" t="s">
        <v>445</v>
      </c>
      <c r="D11" s="94" t="s">
        <v>446</v>
      </c>
      <c r="E11" s="94" t="s">
        <v>447</v>
      </c>
      <c r="F11" s="94" t="s">
        <v>449</v>
      </c>
      <c r="G11" s="99" t="s">
        <v>43</v>
      </c>
      <c r="H11" s="92" t="s">
        <v>369</v>
      </c>
      <c r="I11" s="92" t="s">
        <v>451</v>
      </c>
      <c r="J11" s="94" t="s">
        <v>298</v>
      </c>
      <c r="K11" s="94" t="s">
        <v>452</v>
      </c>
      <c r="L11" s="94" t="s">
        <v>385</v>
      </c>
      <c r="M11" s="95"/>
      <c r="N11" s="92" t="s">
        <v>47</v>
      </c>
      <c r="O11" s="95"/>
      <c r="P11" s="95"/>
      <c r="Q11" s="95"/>
      <c r="R11" s="94" t="s">
        <v>456</v>
      </c>
      <c r="S11" s="1"/>
      <c r="T11" s="1"/>
      <c r="U11" s="1"/>
      <c r="V11" s="1"/>
      <c r="W11" s="1"/>
      <c r="X11" s="1"/>
      <c r="Y11" s="1"/>
      <c r="Z11" s="1"/>
    </row>
    <row r="12" ht="133.5" customHeight="1">
      <c r="A12" s="91" t="s">
        <v>457</v>
      </c>
      <c r="B12" s="96" t="s">
        <v>444</v>
      </c>
      <c r="C12" s="97" t="s">
        <v>458</v>
      </c>
      <c r="D12" s="97" t="s">
        <v>459</v>
      </c>
      <c r="E12" s="97" t="s">
        <v>461</v>
      </c>
      <c r="F12" s="97" t="s">
        <v>462</v>
      </c>
      <c r="G12" s="92" t="s">
        <v>369</v>
      </c>
      <c r="H12" s="92" t="s">
        <v>369</v>
      </c>
      <c r="I12" s="96" t="s">
        <v>451</v>
      </c>
      <c r="J12" s="97" t="s">
        <v>298</v>
      </c>
      <c r="K12" s="97" t="s">
        <v>465</v>
      </c>
      <c r="L12" s="97" t="s">
        <v>385</v>
      </c>
      <c r="M12" s="50"/>
      <c r="N12" s="92" t="s">
        <v>47</v>
      </c>
      <c r="O12" s="50"/>
      <c r="P12" s="50"/>
      <c r="Q12" s="50"/>
      <c r="R12" s="97" t="s">
        <v>468</v>
      </c>
      <c r="S12" s="1"/>
      <c r="T12" s="1"/>
      <c r="U12" s="1"/>
      <c r="V12" s="1"/>
      <c r="W12" s="1"/>
      <c r="X12" s="1"/>
      <c r="Y12" s="1"/>
      <c r="Z12" s="1"/>
    </row>
    <row r="13" ht="85.5" customHeight="1">
      <c r="A13" s="91" t="s">
        <v>469</v>
      </c>
      <c r="B13" s="92" t="s">
        <v>444</v>
      </c>
      <c r="C13" s="94" t="s">
        <v>470</v>
      </c>
      <c r="D13" s="94" t="s">
        <v>472</v>
      </c>
      <c r="E13" s="94" t="s">
        <v>474</v>
      </c>
      <c r="F13" s="94" t="s">
        <v>475</v>
      </c>
      <c r="G13" s="99" t="s">
        <v>43</v>
      </c>
      <c r="H13" s="99" t="s">
        <v>43</v>
      </c>
      <c r="I13" s="92" t="s">
        <v>451</v>
      </c>
      <c r="J13" s="94" t="s">
        <v>298</v>
      </c>
      <c r="K13" s="94" t="s">
        <v>477</v>
      </c>
      <c r="L13" s="94" t="s">
        <v>385</v>
      </c>
      <c r="M13" s="95"/>
      <c r="N13" s="92" t="s">
        <v>47</v>
      </c>
      <c r="O13" s="95"/>
      <c r="P13" s="95"/>
      <c r="Q13" s="95"/>
      <c r="R13" s="94" t="s">
        <v>480</v>
      </c>
      <c r="S13" s="1"/>
      <c r="T13" s="1"/>
      <c r="U13" s="1"/>
      <c r="V13" s="1"/>
      <c r="W13" s="1"/>
      <c r="X13" s="1"/>
      <c r="Y13" s="1"/>
      <c r="Z13" s="1"/>
    </row>
    <row r="14" ht="14.25" customHeight="1">
      <c r="A14" s="91" t="s">
        <v>481</v>
      </c>
      <c r="B14" s="92" t="s">
        <v>414</v>
      </c>
      <c r="C14" s="94" t="s">
        <v>484</v>
      </c>
      <c r="D14" s="94" t="s">
        <v>485</v>
      </c>
      <c r="E14" s="94" t="s">
        <v>487</v>
      </c>
      <c r="F14" s="94" t="s">
        <v>489</v>
      </c>
      <c r="G14" s="92" t="s">
        <v>369</v>
      </c>
      <c r="H14" s="92" t="s">
        <v>369</v>
      </c>
      <c r="I14" s="92" t="s">
        <v>451</v>
      </c>
      <c r="J14" s="94" t="s">
        <v>298</v>
      </c>
      <c r="K14" s="94" t="s">
        <v>491</v>
      </c>
      <c r="L14" s="94" t="s">
        <v>385</v>
      </c>
      <c r="M14" s="50"/>
      <c r="N14" s="98" t="s">
        <v>492</v>
      </c>
      <c r="O14" s="95" t="s">
        <v>493</v>
      </c>
      <c r="P14" s="50"/>
      <c r="Q14" s="50"/>
      <c r="R14" s="94" t="s">
        <v>496</v>
      </c>
      <c r="S14" s="1"/>
      <c r="T14" s="1"/>
      <c r="U14" s="1"/>
      <c r="V14" s="1"/>
      <c r="W14" s="1"/>
      <c r="X14" s="1"/>
      <c r="Y14" s="1"/>
      <c r="Z14" s="1"/>
    </row>
    <row r="15" ht="14.25" customHeight="1">
      <c r="A15" s="91" t="s">
        <v>500</v>
      </c>
      <c r="B15" s="92" t="s">
        <v>414</v>
      </c>
      <c r="C15" s="94" t="s">
        <v>501</v>
      </c>
      <c r="D15" s="94" t="s">
        <v>503</v>
      </c>
      <c r="E15" s="94" t="s">
        <v>505</v>
      </c>
      <c r="F15" s="94" t="s">
        <v>506</v>
      </c>
      <c r="G15" s="99" t="s">
        <v>43</v>
      </c>
      <c r="H15" s="99" t="s">
        <v>43</v>
      </c>
      <c r="I15" s="92" t="s">
        <v>451</v>
      </c>
      <c r="J15" s="94" t="s">
        <v>298</v>
      </c>
      <c r="K15" s="94" t="s">
        <v>509</v>
      </c>
      <c r="L15" s="94" t="s">
        <v>385</v>
      </c>
      <c r="M15" s="95"/>
      <c r="N15" s="98" t="s">
        <v>492</v>
      </c>
      <c r="O15" s="95" t="s">
        <v>493</v>
      </c>
      <c r="P15" s="95"/>
      <c r="Q15" s="95"/>
      <c r="R15" s="94" t="s">
        <v>513</v>
      </c>
      <c r="S15" s="1"/>
      <c r="T15" s="1"/>
      <c r="U15" s="1"/>
      <c r="V15" s="1"/>
      <c r="W15" s="1"/>
      <c r="X15" s="1"/>
      <c r="Y15" s="1"/>
      <c r="Z15" s="1"/>
    </row>
    <row r="16" ht="14.25" customHeight="1">
      <c r="A16" s="91" t="s">
        <v>516</v>
      </c>
      <c r="B16" s="50"/>
      <c r="C16" s="50"/>
      <c r="D16" s="50"/>
      <c r="E16" s="50"/>
      <c r="F16" s="50"/>
      <c r="G16" s="99" t="s">
        <v>43</v>
      </c>
      <c r="H16" s="99" t="s">
        <v>43</v>
      </c>
      <c r="I16" s="50"/>
      <c r="J16" s="50"/>
      <c r="K16" s="50"/>
      <c r="L16" s="50"/>
      <c r="M16" s="50"/>
      <c r="N16" s="99" t="s">
        <v>521</v>
      </c>
      <c r="O16" s="50"/>
      <c r="P16" s="50"/>
      <c r="Q16" s="50"/>
      <c r="R16" s="50"/>
      <c r="S16" s="1"/>
      <c r="T16" s="1"/>
      <c r="U16" s="1"/>
      <c r="V16" s="1"/>
      <c r="W16" s="1"/>
      <c r="X16" s="1"/>
      <c r="Y16" s="1"/>
      <c r="Z16" s="1"/>
    </row>
    <row r="17" ht="14.25" customHeight="1">
      <c r="A17" s="91" t="s">
        <v>522</v>
      </c>
      <c r="B17" s="95"/>
      <c r="C17" s="95"/>
      <c r="D17" s="95"/>
      <c r="E17" s="95"/>
      <c r="F17" s="95"/>
      <c r="G17" s="99" t="s">
        <v>43</v>
      </c>
      <c r="H17" s="99" t="s">
        <v>43</v>
      </c>
      <c r="I17" s="95"/>
      <c r="J17" s="95"/>
      <c r="K17" s="95"/>
      <c r="L17" s="95"/>
      <c r="M17" s="95"/>
      <c r="N17" s="99" t="s">
        <v>521</v>
      </c>
      <c r="O17" s="95"/>
      <c r="P17" s="95"/>
      <c r="Q17" s="95"/>
      <c r="R17" s="95"/>
      <c r="S17" s="1"/>
      <c r="T17" s="1"/>
      <c r="U17" s="1"/>
      <c r="V17" s="1"/>
      <c r="W17" s="1"/>
      <c r="X17" s="1"/>
      <c r="Y17" s="1"/>
      <c r="Z17" s="1"/>
    </row>
    <row r="18" ht="14.25" customHeight="1">
      <c r="A18" s="91" t="s">
        <v>529</v>
      </c>
      <c r="B18" s="50"/>
      <c r="C18" s="50"/>
      <c r="D18" s="50"/>
      <c r="E18" s="50"/>
      <c r="F18" s="50"/>
      <c r="G18" s="99" t="s">
        <v>43</v>
      </c>
      <c r="H18" s="99" t="s">
        <v>43</v>
      </c>
      <c r="I18" s="50"/>
      <c r="J18" s="50"/>
      <c r="K18" s="50"/>
      <c r="L18" s="50"/>
      <c r="M18" s="50"/>
      <c r="N18" s="99" t="s">
        <v>521</v>
      </c>
      <c r="O18" s="50"/>
      <c r="P18" s="50"/>
      <c r="Q18" s="50"/>
      <c r="R18" s="50"/>
      <c r="S18" s="1"/>
      <c r="T18" s="1"/>
      <c r="U18" s="1"/>
      <c r="V18" s="1"/>
      <c r="W18" s="1"/>
      <c r="X18" s="1"/>
      <c r="Y18" s="1"/>
      <c r="Z18" s="1"/>
    </row>
    <row r="19" ht="14.25" customHeight="1">
      <c r="A19" s="91" t="s">
        <v>533</v>
      </c>
      <c r="B19" s="95"/>
      <c r="C19" s="95"/>
      <c r="D19" s="95"/>
      <c r="E19" s="95"/>
      <c r="F19" s="95"/>
      <c r="G19" s="99" t="s">
        <v>43</v>
      </c>
      <c r="H19" s="99" t="s">
        <v>43</v>
      </c>
      <c r="I19" s="95"/>
      <c r="J19" s="95"/>
      <c r="K19" s="95"/>
      <c r="L19" s="95"/>
      <c r="M19" s="95"/>
      <c r="N19" s="99" t="s">
        <v>521</v>
      </c>
      <c r="O19" s="95"/>
      <c r="P19" s="95"/>
      <c r="Q19" s="95"/>
      <c r="R19" s="95"/>
      <c r="S19" s="1"/>
      <c r="T19" s="1"/>
      <c r="U19" s="1"/>
      <c r="V19" s="1"/>
      <c r="W19" s="1"/>
      <c r="X19" s="1"/>
      <c r="Y19" s="1"/>
      <c r="Z19" s="1"/>
    </row>
    <row r="20" ht="14.25" customHeight="1">
      <c r="A20" s="91" t="s">
        <v>536</v>
      </c>
      <c r="B20" s="50"/>
      <c r="C20" s="50"/>
      <c r="D20" s="50"/>
      <c r="E20" s="50"/>
      <c r="F20" s="50"/>
      <c r="G20" s="99" t="s">
        <v>43</v>
      </c>
      <c r="H20" s="99" t="s">
        <v>43</v>
      </c>
      <c r="I20" s="50"/>
      <c r="J20" s="50"/>
      <c r="K20" s="50"/>
      <c r="L20" s="50"/>
      <c r="M20" s="50"/>
      <c r="N20" s="99" t="s">
        <v>521</v>
      </c>
      <c r="O20" s="50"/>
      <c r="P20" s="50"/>
      <c r="Q20" s="50"/>
      <c r="R20" s="50"/>
      <c r="S20" s="1"/>
      <c r="T20" s="1"/>
      <c r="U20" s="1"/>
      <c r="V20" s="1"/>
      <c r="W20" s="1"/>
      <c r="X20" s="1"/>
      <c r="Y20" s="1"/>
      <c r="Z20" s="1"/>
    </row>
    <row r="21" ht="14.25" customHeight="1">
      <c r="A21" s="91" t="s">
        <v>539</v>
      </c>
      <c r="B21" s="95"/>
      <c r="C21" s="95"/>
      <c r="D21" s="95"/>
      <c r="E21" s="95"/>
      <c r="F21" s="95"/>
      <c r="G21" s="99" t="s">
        <v>43</v>
      </c>
      <c r="H21" s="99" t="s">
        <v>43</v>
      </c>
      <c r="I21" s="95"/>
      <c r="J21" s="95"/>
      <c r="K21" s="95"/>
      <c r="L21" s="95"/>
      <c r="M21" s="95"/>
      <c r="N21" s="99" t="s">
        <v>521</v>
      </c>
      <c r="O21" s="95"/>
      <c r="P21" s="95"/>
      <c r="Q21" s="95"/>
      <c r="R21" s="95"/>
      <c r="S21" s="1"/>
      <c r="T21" s="1"/>
      <c r="U21" s="1"/>
      <c r="V21" s="1"/>
      <c r="W21" s="1"/>
      <c r="X21" s="1"/>
      <c r="Y21" s="1"/>
      <c r="Z21" s="1"/>
    </row>
    <row r="22" ht="14.25" customHeight="1">
      <c r="A22" s="91" t="s">
        <v>542</v>
      </c>
      <c r="B22" s="50"/>
      <c r="C22" s="50"/>
      <c r="D22" s="50"/>
      <c r="E22" s="50"/>
      <c r="F22" s="50"/>
      <c r="G22" s="99" t="s">
        <v>43</v>
      </c>
      <c r="H22" s="99" t="s">
        <v>43</v>
      </c>
      <c r="I22" s="50"/>
      <c r="J22" s="50"/>
      <c r="K22" s="50"/>
      <c r="L22" s="50"/>
      <c r="M22" s="50"/>
      <c r="N22" s="99" t="s">
        <v>521</v>
      </c>
      <c r="O22" s="50"/>
      <c r="P22" s="50"/>
      <c r="Q22" s="50"/>
      <c r="R22" s="50"/>
      <c r="S22" s="1"/>
      <c r="T22" s="1"/>
      <c r="U22" s="1"/>
      <c r="V22" s="1"/>
      <c r="W22" s="1"/>
      <c r="X22" s="1"/>
      <c r="Y22" s="1"/>
      <c r="Z22" s="1"/>
    </row>
    <row r="23" ht="14.25" customHeight="1">
      <c r="A23" s="91" t="s">
        <v>546</v>
      </c>
      <c r="B23" s="95"/>
      <c r="C23" s="95"/>
      <c r="D23" s="95"/>
      <c r="E23" s="95"/>
      <c r="F23" s="95"/>
      <c r="G23" s="99" t="s">
        <v>43</v>
      </c>
      <c r="H23" s="99" t="s">
        <v>43</v>
      </c>
      <c r="I23" s="95"/>
      <c r="J23" s="95"/>
      <c r="K23" s="95"/>
      <c r="L23" s="95"/>
      <c r="M23" s="95"/>
      <c r="N23" s="99" t="s">
        <v>521</v>
      </c>
      <c r="O23" s="95"/>
      <c r="P23" s="95"/>
      <c r="Q23" s="95"/>
      <c r="R23" s="95"/>
      <c r="S23" s="1"/>
      <c r="T23" s="1"/>
      <c r="U23" s="1"/>
      <c r="V23" s="1"/>
      <c r="W23" s="1"/>
      <c r="X23" s="1"/>
      <c r="Y23" s="1"/>
      <c r="Z23" s="1"/>
    </row>
    <row r="24" ht="14.25" customHeight="1">
      <c r="A24" s="91" t="s">
        <v>549</v>
      </c>
      <c r="B24" s="50"/>
      <c r="C24" s="50"/>
      <c r="D24" s="50"/>
      <c r="E24" s="50"/>
      <c r="F24" s="50"/>
      <c r="G24" s="99" t="s">
        <v>43</v>
      </c>
      <c r="H24" s="99" t="s">
        <v>43</v>
      </c>
      <c r="I24" s="50"/>
      <c r="J24" s="50"/>
      <c r="K24" s="50"/>
      <c r="L24" s="50"/>
      <c r="M24" s="50"/>
      <c r="N24" s="99" t="s">
        <v>521</v>
      </c>
      <c r="O24" s="50"/>
      <c r="P24" s="50"/>
      <c r="Q24" s="50"/>
      <c r="R24" s="50"/>
      <c r="S24" s="1"/>
      <c r="T24" s="1"/>
      <c r="U24" s="1"/>
      <c r="V24" s="1"/>
      <c r="W24" s="1"/>
      <c r="X24" s="1"/>
      <c r="Y24" s="1"/>
      <c r="Z24" s="1"/>
    </row>
    <row r="25" ht="14.25" customHeight="1">
      <c r="A25" s="91" t="s">
        <v>551</v>
      </c>
      <c r="B25" s="95"/>
      <c r="C25" s="95"/>
      <c r="D25" s="95"/>
      <c r="E25" s="95"/>
      <c r="F25" s="95"/>
      <c r="G25" s="99" t="s">
        <v>43</v>
      </c>
      <c r="H25" s="99" t="s">
        <v>43</v>
      </c>
      <c r="I25" s="95"/>
      <c r="J25" s="95"/>
      <c r="K25" s="95"/>
      <c r="L25" s="95"/>
      <c r="M25" s="95"/>
      <c r="N25" s="99" t="s">
        <v>521</v>
      </c>
      <c r="O25" s="95"/>
      <c r="P25" s="95"/>
      <c r="Q25" s="95"/>
      <c r="R25" s="95"/>
      <c r="S25" s="1"/>
      <c r="T25" s="1"/>
      <c r="U25" s="1"/>
      <c r="V25" s="1"/>
      <c r="W25" s="1"/>
      <c r="X25" s="1"/>
      <c r="Y25" s="1"/>
      <c r="Z25" s="1"/>
    </row>
    <row r="26" ht="14.25" customHeight="1">
      <c r="A26" s="91" t="s">
        <v>555</v>
      </c>
      <c r="B26" s="50"/>
      <c r="C26" s="50"/>
      <c r="D26" s="50"/>
      <c r="E26" s="50"/>
      <c r="F26" s="50"/>
      <c r="G26" s="99" t="s">
        <v>43</v>
      </c>
      <c r="H26" s="99" t="s">
        <v>43</v>
      </c>
      <c r="I26" s="50"/>
      <c r="J26" s="50"/>
      <c r="K26" s="50"/>
      <c r="L26" s="50"/>
      <c r="M26" s="50"/>
      <c r="N26" s="99" t="s">
        <v>521</v>
      </c>
      <c r="O26" s="50"/>
      <c r="P26" s="50"/>
      <c r="Q26" s="50"/>
      <c r="R26" s="50"/>
      <c r="S26" s="1"/>
      <c r="T26" s="1"/>
      <c r="U26" s="1"/>
      <c r="V26" s="1"/>
      <c r="W26" s="1"/>
      <c r="X26" s="1"/>
      <c r="Y26" s="1"/>
      <c r="Z26" s="1"/>
    </row>
    <row r="27" ht="14.25" customHeight="1">
      <c r="A27" s="91" t="s">
        <v>558</v>
      </c>
      <c r="B27" s="95"/>
      <c r="C27" s="95"/>
      <c r="D27" s="95"/>
      <c r="E27" s="95"/>
      <c r="F27" s="95"/>
      <c r="G27" s="99" t="s">
        <v>43</v>
      </c>
      <c r="H27" s="99" t="s">
        <v>43</v>
      </c>
      <c r="I27" s="95"/>
      <c r="J27" s="95"/>
      <c r="K27" s="95"/>
      <c r="L27" s="95"/>
      <c r="M27" s="95"/>
      <c r="N27" s="99" t="s">
        <v>521</v>
      </c>
      <c r="O27" s="95"/>
      <c r="P27" s="95"/>
      <c r="Q27" s="95"/>
      <c r="R27" s="95"/>
      <c r="S27" s="1"/>
      <c r="T27" s="1"/>
      <c r="U27" s="1"/>
      <c r="V27" s="1"/>
      <c r="W27" s="1"/>
      <c r="X27" s="1"/>
      <c r="Y27" s="1"/>
      <c r="Z27" s="1"/>
    </row>
    <row r="28" ht="14.25" customHeight="1">
      <c r="A28" s="91" t="s">
        <v>562</v>
      </c>
      <c r="B28" s="50"/>
      <c r="C28" s="50"/>
      <c r="D28" s="50"/>
      <c r="E28" s="50"/>
      <c r="F28" s="50"/>
      <c r="G28" s="99" t="s">
        <v>43</v>
      </c>
      <c r="H28" s="99" t="s">
        <v>43</v>
      </c>
      <c r="I28" s="50"/>
      <c r="J28" s="50"/>
      <c r="K28" s="50"/>
      <c r="L28" s="50"/>
      <c r="M28" s="50"/>
      <c r="N28" s="99" t="s">
        <v>521</v>
      </c>
      <c r="O28" s="50"/>
      <c r="P28" s="50"/>
      <c r="Q28" s="50"/>
      <c r="R28" s="50"/>
      <c r="S28" s="1"/>
      <c r="T28" s="1"/>
      <c r="U28" s="1"/>
      <c r="V28" s="1"/>
      <c r="W28" s="1"/>
      <c r="X28" s="1"/>
      <c r="Y28" s="1"/>
      <c r="Z28" s="1"/>
    </row>
    <row r="29" ht="14.25" customHeight="1">
      <c r="A29" s="91" t="s">
        <v>565</v>
      </c>
      <c r="B29" s="95"/>
      <c r="C29" s="95"/>
      <c r="D29" s="95"/>
      <c r="E29" s="95"/>
      <c r="F29" s="95"/>
      <c r="G29" s="99" t="s">
        <v>43</v>
      </c>
      <c r="H29" s="99" t="s">
        <v>43</v>
      </c>
      <c r="I29" s="95"/>
      <c r="J29" s="95"/>
      <c r="K29" s="95"/>
      <c r="L29" s="95"/>
      <c r="M29" s="95"/>
      <c r="N29" s="99" t="s">
        <v>521</v>
      </c>
      <c r="O29" s="95"/>
      <c r="P29" s="95"/>
      <c r="Q29" s="95"/>
      <c r="R29" s="95"/>
      <c r="S29" s="1"/>
      <c r="T29" s="1"/>
      <c r="U29" s="1"/>
      <c r="V29" s="1"/>
      <c r="W29" s="1"/>
      <c r="X29" s="1"/>
      <c r="Y29" s="1"/>
      <c r="Z29" s="1"/>
    </row>
    <row r="30" ht="14.25" customHeight="1">
      <c r="A30" s="91" t="s">
        <v>568</v>
      </c>
      <c r="B30" s="50"/>
      <c r="C30" s="50"/>
      <c r="D30" s="50"/>
      <c r="E30" s="50"/>
      <c r="F30" s="50"/>
      <c r="G30" s="99" t="s">
        <v>43</v>
      </c>
      <c r="H30" s="99" t="s">
        <v>43</v>
      </c>
      <c r="I30" s="50"/>
      <c r="J30" s="50"/>
      <c r="K30" s="50"/>
      <c r="L30" s="50"/>
      <c r="M30" s="50"/>
      <c r="N30" s="99" t="s">
        <v>521</v>
      </c>
      <c r="O30" s="50"/>
      <c r="P30" s="50"/>
      <c r="Q30" s="50"/>
      <c r="R30" s="50"/>
      <c r="S30" s="1"/>
      <c r="T30" s="1"/>
      <c r="U30" s="1"/>
      <c r="V30" s="1"/>
      <c r="W30" s="1"/>
      <c r="X30" s="1"/>
      <c r="Y30" s="1"/>
      <c r="Z30" s="1"/>
    </row>
    <row r="31" ht="14.25" customHeight="1">
      <c r="A31" s="91" t="s">
        <v>569</v>
      </c>
      <c r="B31" s="95"/>
      <c r="C31" s="95"/>
      <c r="D31" s="95"/>
      <c r="E31" s="95"/>
      <c r="F31" s="95"/>
      <c r="G31" s="99" t="s">
        <v>43</v>
      </c>
      <c r="H31" s="99" t="s">
        <v>43</v>
      </c>
      <c r="I31" s="95"/>
      <c r="J31" s="95"/>
      <c r="K31" s="95"/>
      <c r="L31" s="95"/>
      <c r="M31" s="95"/>
      <c r="N31" s="99" t="s">
        <v>521</v>
      </c>
      <c r="O31" s="95"/>
      <c r="P31" s="95"/>
      <c r="Q31" s="95"/>
      <c r="R31" s="95"/>
      <c r="S31" s="1"/>
      <c r="T31" s="1"/>
      <c r="U31" s="1"/>
      <c r="V31" s="1"/>
      <c r="W31" s="1"/>
      <c r="X31" s="1"/>
      <c r="Y31" s="1"/>
      <c r="Z31" s="1"/>
    </row>
    <row r="32" ht="14.25" customHeight="1">
      <c r="A32" s="91" t="s">
        <v>572</v>
      </c>
      <c r="B32" s="50"/>
      <c r="C32" s="50"/>
      <c r="D32" s="50"/>
      <c r="E32" s="50"/>
      <c r="F32" s="50"/>
      <c r="G32" s="99" t="s">
        <v>43</v>
      </c>
      <c r="H32" s="99" t="s">
        <v>43</v>
      </c>
      <c r="I32" s="50"/>
      <c r="J32" s="50"/>
      <c r="K32" s="50"/>
      <c r="L32" s="50"/>
      <c r="M32" s="50"/>
      <c r="N32" s="99" t="s">
        <v>521</v>
      </c>
      <c r="O32" s="50"/>
      <c r="P32" s="50"/>
      <c r="Q32" s="50"/>
      <c r="R32" s="50"/>
      <c r="S32" s="1"/>
      <c r="T32" s="1"/>
      <c r="U32" s="1"/>
      <c r="V32" s="1"/>
      <c r="W32" s="1"/>
      <c r="X32" s="1"/>
      <c r="Y32" s="1"/>
      <c r="Z32" s="1"/>
    </row>
    <row r="33" ht="14.25" customHeight="1">
      <c r="A33" s="91" t="s">
        <v>575</v>
      </c>
      <c r="B33" s="95"/>
      <c r="C33" s="95"/>
      <c r="D33" s="95"/>
      <c r="E33" s="95"/>
      <c r="F33" s="95"/>
      <c r="G33" s="99" t="s">
        <v>43</v>
      </c>
      <c r="H33" s="99" t="s">
        <v>43</v>
      </c>
      <c r="I33" s="95"/>
      <c r="J33" s="95"/>
      <c r="K33" s="95"/>
      <c r="L33" s="95"/>
      <c r="M33" s="95"/>
      <c r="N33" s="99" t="s">
        <v>521</v>
      </c>
      <c r="O33" s="95"/>
      <c r="P33" s="95"/>
      <c r="Q33" s="95"/>
      <c r="R33" s="95"/>
      <c r="S33" s="1"/>
      <c r="T33" s="1"/>
      <c r="U33" s="1"/>
      <c r="V33" s="1"/>
      <c r="W33" s="1"/>
      <c r="X33" s="1"/>
      <c r="Y33" s="1"/>
      <c r="Z33" s="1"/>
    </row>
    <row r="34" ht="14.25" customHeight="1">
      <c r="A34" s="91" t="s">
        <v>580</v>
      </c>
      <c r="B34" s="50"/>
      <c r="C34" s="50"/>
      <c r="D34" s="50"/>
      <c r="E34" s="50"/>
      <c r="F34" s="50"/>
      <c r="G34" s="99" t="s">
        <v>43</v>
      </c>
      <c r="H34" s="99" t="s">
        <v>43</v>
      </c>
      <c r="I34" s="50"/>
      <c r="J34" s="50"/>
      <c r="K34" s="50"/>
      <c r="L34" s="50"/>
      <c r="M34" s="50"/>
      <c r="N34" s="99" t="s">
        <v>521</v>
      </c>
      <c r="O34" s="50"/>
      <c r="P34" s="50"/>
      <c r="Q34" s="50"/>
      <c r="R34" s="50"/>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2" priority="1" operator="equal">
      <formula>"Critical"</formula>
    </cfRule>
  </conditionalFormatting>
  <conditionalFormatting sqref="G5:G1000">
    <cfRule type="cellIs" dxfId="2" priority="2" operator="equal">
      <formula>"High"</formula>
    </cfRule>
  </conditionalFormatting>
  <conditionalFormatting sqref="G5:G1000">
    <cfRule type="cellIs" dxfId="1" priority="3" operator="equal">
      <formula>"Medium"</formula>
    </cfRule>
  </conditionalFormatting>
  <conditionalFormatting sqref="G5:G1000">
    <cfRule type="cellIs" dxfId="0" priority="4" operator="equal">
      <formula>"Low"</formula>
    </cfRule>
  </conditionalFormatting>
  <conditionalFormatting sqref="G5:G1000">
    <cfRule type="cellIs" dxfId="4" priority="5" operator="equal">
      <formula>"Info"</formula>
    </cfRule>
  </conditionalFormatting>
  <conditionalFormatting sqref="H5:H1000">
    <cfRule type="cellIs" dxfId="2" priority="6" operator="equal">
      <formula>"Critical"</formula>
    </cfRule>
  </conditionalFormatting>
  <conditionalFormatting sqref="H5:H1000">
    <cfRule type="cellIs" dxfId="2" priority="7" operator="equal">
      <formula>"High"</formula>
    </cfRule>
  </conditionalFormatting>
  <conditionalFormatting sqref="H5:H1000">
    <cfRule type="cellIs" dxfId="1" priority="8" operator="equal">
      <formula>"Medium"</formula>
    </cfRule>
  </conditionalFormatting>
  <conditionalFormatting sqref="H5:H1000">
    <cfRule type="cellIs" dxfId="0" priority="9" operator="equal">
      <formula>"Low"</formula>
    </cfRule>
  </conditionalFormatting>
  <conditionalFormatting sqref="N5:N1000">
    <cfRule type="cellIs" dxfId="0" priority="10" operator="equal">
      <formula>"Done"</formula>
    </cfRule>
  </conditionalFormatting>
  <conditionalFormatting sqref="N5:N1000">
    <cfRule type="cellIs" dxfId="0" priority="11" operator="equal">
      <formula>"Completed"</formula>
    </cfRule>
  </conditionalFormatting>
  <conditionalFormatting sqref="N5:N1000">
    <cfRule type="cellIs" dxfId="0" priority="12" operator="equal">
      <formula>"Closed"</formula>
    </cfRule>
  </conditionalFormatting>
  <conditionalFormatting sqref="N5:N1000">
    <cfRule type="cellIs" dxfId="0" priority="13" operator="equal">
      <formula>"Fixed"</formula>
    </cfRule>
  </conditionalFormatting>
  <conditionalFormatting sqref="N5:N1000">
    <cfRule type="cellIs" dxfId="0" priority="14" operator="equal">
      <formula>"Approved"</formula>
    </cfRule>
  </conditionalFormatting>
  <conditionalFormatting sqref="N5:N1000">
    <cfRule type="cellIs" dxfId="1" priority="15" operator="equal">
      <formula>"In Progress"</formula>
    </cfRule>
  </conditionalFormatting>
  <conditionalFormatting sqref="N5:N1000">
    <cfRule type="cellIs" dxfId="2" priority="16" operator="equal">
      <formula>"Open"</formula>
    </cfRule>
  </conditionalFormatting>
  <conditionalFormatting sqref="N5:N1000">
    <cfRule type="cellIs" dxfId="1" priority="17" operator="equal">
      <formula>"Pending"</formula>
    </cfRule>
  </conditionalFormatting>
  <conditionalFormatting sqref="N5:N1000">
    <cfRule type="cellIs" dxfId="2" priority="18" operator="equal">
      <formula>"Blocked"</formula>
    </cfRule>
  </conditionalFormatting>
  <conditionalFormatting sqref="N5:N1000">
    <cfRule type="cellIs" dxfId="3" priority="19" operator="equal">
      <formula>"Cancelled"</formula>
    </cfRule>
  </conditionalFormatting>
  <conditionalFormatting sqref="N5:N1000">
    <cfRule type="cellIs" dxfId="2" priority="20" operator="equal">
      <formula>"Rejected"</formula>
    </cfRule>
  </conditionalFormatting>
  <conditionalFormatting sqref="N5:N1000">
    <cfRule type="cellIs" dxfId="4" priority="21" operator="equal">
      <formula>"Submitted"</formula>
    </cfRule>
  </conditionalFormatting>
  <dataValidations>
    <dataValidation type="list" allowBlank="1" sqref="N5:N300">
      <formula1>"Pending,Open,In Progress,Fixed,Closed,Rejected"</formula1>
    </dataValidation>
    <dataValidation type="list" allowBlank="1" sqref="I5:I300">
      <formula1>"Review,Unit Test,Integration Test,System Test,UAT"</formula1>
    </dataValidation>
    <dataValidation type="list" allowBlank="1" sqref="G5:G300">
      <formula1>"Critical,High,Medium,Low,Info"</formula1>
    </dataValidation>
    <dataValidation type="list" allowBlank="1" sqref="H5:H300">
      <formula1>"Critical,High,Medium,Low"</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C3292"/>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6.0"/>
    <col customWidth="1" min="2" max="2" width="12.0"/>
    <col customWidth="1" min="3" max="3" width="36.0"/>
    <col customWidth="1" min="4" max="4" width="16.0"/>
    <col customWidth="1" min="5" max="5" width="10.0"/>
    <col customWidth="1" min="6" max="6" width="28.0"/>
    <col customWidth="1" min="7" max="8" width="14.0"/>
    <col customWidth="1" min="9" max="9" width="12.0"/>
    <col customWidth="1" min="10" max="10" width="32.0"/>
    <col customWidth="1" min="11" max="12" width="12.0"/>
    <col customWidth="1" min="13" max="13" width="20.0"/>
    <col customWidth="1" min="14" max="26" width="8.71"/>
  </cols>
  <sheetData>
    <row r="1" ht="27.75" customHeight="1">
      <c r="A1" s="4" t="s">
        <v>657</v>
      </c>
      <c r="N1" s="1"/>
      <c r="O1" s="1"/>
      <c r="P1" s="1"/>
      <c r="Q1" s="1"/>
      <c r="R1" s="1"/>
      <c r="S1" s="1"/>
      <c r="T1" s="1"/>
      <c r="U1" s="1"/>
      <c r="V1" s="1"/>
      <c r="W1" s="1"/>
      <c r="X1" s="1"/>
      <c r="Y1" s="1"/>
      <c r="Z1" s="1"/>
    </row>
    <row r="2" ht="15.75" customHeight="1">
      <c r="A2" s="10" t="s">
        <v>658</v>
      </c>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40" t="s">
        <v>7</v>
      </c>
      <c r="B4" s="140" t="s">
        <v>14</v>
      </c>
      <c r="C4" s="140" t="s">
        <v>659</v>
      </c>
      <c r="D4" s="140" t="s">
        <v>660</v>
      </c>
      <c r="E4" s="140" t="s">
        <v>21</v>
      </c>
      <c r="F4" s="140" t="s">
        <v>661</v>
      </c>
      <c r="G4" s="140" t="s">
        <v>17</v>
      </c>
      <c r="H4" s="140" t="s">
        <v>662</v>
      </c>
      <c r="I4" s="140" t="s">
        <v>23</v>
      </c>
      <c r="J4" s="140" t="s">
        <v>663</v>
      </c>
      <c r="K4" s="140" t="s">
        <v>16</v>
      </c>
      <c r="L4" s="140" t="s">
        <v>664</v>
      </c>
      <c r="M4" s="140" t="s">
        <v>24</v>
      </c>
      <c r="N4" s="1"/>
      <c r="O4" s="1"/>
      <c r="P4" s="1"/>
      <c r="Q4" s="1"/>
      <c r="R4" s="1"/>
      <c r="S4" s="1"/>
      <c r="T4" s="1"/>
      <c r="U4" s="1"/>
      <c r="V4" s="1"/>
      <c r="W4" s="1"/>
      <c r="X4" s="1"/>
      <c r="Y4" s="1"/>
      <c r="Z4" s="1"/>
    </row>
    <row r="5" ht="31.5" customHeight="1">
      <c r="A5" s="141" t="s">
        <v>665</v>
      </c>
      <c r="B5" s="142" t="s">
        <v>666</v>
      </c>
      <c r="C5" s="143" t="s">
        <v>667</v>
      </c>
      <c r="D5" s="142" t="s">
        <v>668</v>
      </c>
      <c r="E5" s="92" t="s">
        <v>395</v>
      </c>
      <c r="F5" s="144" t="s">
        <v>669</v>
      </c>
      <c r="G5" s="144" t="s">
        <v>385</v>
      </c>
      <c r="H5" s="144" t="s">
        <v>385</v>
      </c>
      <c r="I5" s="145"/>
      <c r="J5" s="144" t="s">
        <v>670</v>
      </c>
      <c r="K5" s="98" t="s">
        <v>413</v>
      </c>
      <c r="L5" s="142" t="s">
        <v>671</v>
      </c>
      <c r="M5" s="144" t="s">
        <v>672</v>
      </c>
      <c r="N5" s="1"/>
      <c r="O5" s="1"/>
      <c r="P5" s="1"/>
      <c r="Q5" s="1"/>
      <c r="R5" s="1"/>
      <c r="S5" s="1"/>
      <c r="T5" s="1"/>
      <c r="U5" s="1"/>
      <c r="V5" s="1"/>
      <c r="W5" s="1"/>
      <c r="X5" s="1"/>
      <c r="Y5" s="1"/>
      <c r="Z5" s="1"/>
    </row>
    <row r="6" ht="19.5" customHeight="1">
      <c r="A6" s="141" t="s">
        <v>673</v>
      </c>
      <c r="B6" s="96" t="s">
        <v>671</v>
      </c>
      <c r="C6" s="97" t="s">
        <v>674</v>
      </c>
      <c r="D6" s="96" t="s">
        <v>668</v>
      </c>
      <c r="E6" s="92" t="s">
        <v>369</v>
      </c>
      <c r="F6" s="97" t="s">
        <v>675</v>
      </c>
      <c r="G6" s="97" t="s">
        <v>385</v>
      </c>
      <c r="H6" s="97" t="s">
        <v>385</v>
      </c>
      <c r="I6" s="50"/>
      <c r="J6" s="97" t="s">
        <v>676</v>
      </c>
      <c r="K6" s="98" t="s">
        <v>413</v>
      </c>
      <c r="L6" s="96" t="s">
        <v>671</v>
      </c>
      <c r="M6" s="97" t="s">
        <v>677</v>
      </c>
      <c r="N6" s="1"/>
      <c r="O6" s="1"/>
      <c r="P6" s="1"/>
      <c r="Q6" s="1"/>
      <c r="R6" s="1"/>
      <c r="S6" s="1"/>
      <c r="T6" s="1"/>
      <c r="U6" s="1"/>
      <c r="V6" s="1"/>
      <c r="W6" s="1"/>
      <c r="X6" s="1"/>
      <c r="Y6" s="1"/>
      <c r="Z6" s="1"/>
    </row>
    <row r="7" ht="19.5" customHeight="1">
      <c r="A7" s="141" t="s">
        <v>678</v>
      </c>
      <c r="B7" s="142" t="s">
        <v>679</v>
      </c>
      <c r="C7" s="144" t="s">
        <v>680</v>
      </c>
      <c r="D7" s="142" t="s">
        <v>668</v>
      </c>
      <c r="E7" s="92" t="s">
        <v>395</v>
      </c>
      <c r="F7" s="144" t="s">
        <v>681</v>
      </c>
      <c r="G7" s="144" t="s">
        <v>385</v>
      </c>
      <c r="H7" s="144" t="s">
        <v>385</v>
      </c>
      <c r="I7" s="145"/>
      <c r="J7" s="144" t="s">
        <v>682</v>
      </c>
      <c r="K7" s="98" t="s">
        <v>413</v>
      </c>
      <c r="L7" s="142" t="s">
        <v>679</v>
      </c>
      <c r="M7" s="144" t="s">
        <v>683</v>
      </c>
      <c r="N7" s="1"/>
      <c r="O7" s="1"/>
      <c r="P7" s="1"/>
      <c r="Q7" s="1"/>
      <c r="R7" s="1"/>
      <c r="S7" s="1"/>
      <c r="T7" s="1"/>
      <c r="U7" s="1"/>
      <c r="V7" s="1"/>
      <c r="W7" s="1"/>
      <c r="X7" s="1"/>
      <c r="Y7" s="1"/>
      <c r="Z7" s="1"/>
    </row>
    <row r="8" ht="19.5" customHeight="1">
      <c r="A8" s="141" t="s">
        <v>684</v>
      </c>
      <c r="B8" s="96" t="s">
        <v>666</v>
      </c>
      <c r="C8" s="97" t="s">
        <v>685</v>
      </c>
      <c r="D8" s="96" t="s">
        <v>668</v>
      </c>
      <c r="E8" s="92" t="s">
        <v>369</v>
      </c>
      <c r="F8" s="97" t="s">
        <v>686</v>
      </c>
      <c r="G8" s="97" t="s">
        <v>385</v>
      </c>
      <c r="H8" s="97" t="s">
        <v>385</v>
      </c>
      <c r="I8" s="50"/>
      <c r="J8" s="97" t="s">
        <v>687</v>
      </c>
      <c r="K8" s="98" t="s">
        <v>413</v>
      </c>
      <c r="L8" s="96" t="s">
        <v>666</v>
      </c>
      <c r="M8" s="97" t="s">
        <v>688</v>
      </c>
      <c r="N8" s="1"/>
      <c r="O8" s="1"/>
      <c r="P8" s="1"/>
      <c r="Q8" s="1"/>
      <c r="R8" s="1"/>
      <c r="S8" s="1"/>
      <c r="T8" s="1"/>
      <c r="U8" s="1"/>
      <c r="V8" s="1"/>
      <c r="W8" s="1"/>
      <c r="X8" s="1"/>
      <c r="Y8" s="1"/>
      <c r="Z8" s="1"/>
    </row>
    <row r="9" ht="19.5" customHeight="1">
      <c r="A9" s="141" t="s">
        <v>689</v>
      </c>
      <c r="B9" s="142" t="s">
        <v>690</v>
      </c>
      <c r="C9" s="144" t="s">
        <v>691</v>
      </c>
      <c r="D9" s="142" t="s">
        <v>668</v>
      </c>
      <c r="E9" s="92" t="s">
        <v>395</v>
      </c>
      <c r="F9" s="144" t="s">
        <v>692</v>
      </c>
      <c r="G9" s="144" t="s">
        <v>385</v>
      </c>
      <c r="H9" s="144" t="s">
        <v>385</v>
      </c>
      <c r="I9" s="145"/>
      <c r="J9" s="144" t="s">
        <v>693</v>
      </c>
      <c r="K9" s="92" t="s">
        <v>47</v>
      </c>
      <c r="L9" s="145"/>
      <c r="M9" s="144" t="s">
        <v>694</v>
      </c>
      <c r="N9" s="1"/>
      <c r="O9" s="1"/>
      <c r="P9" s="1"/>
      <c r="Q9" s="1"/>
      <c r="R9" s="1"/>
      <c r="S9" s="1"/>
      <c r="T9" s="1"/>
      <c r="U9" s="1"/>
      <c r="V9" s="1"/>
      <c r="W9" s="1"/>
      <c r="X9" s="1"/>
      <c r="Y9" s="1"/>
      <c r="Z9" s="1"/>
    </row>
    <row r="10" ht="19.5" customHeight="1">
      <c r="A10" s="141" t="s">
        <v>695</v>
      </c>
      <c r="B10" s="96" t="s">
        <v>696</v>
      </c>
      <c r="C10" s="97" t="s">
        <v>697</v>
      </c>
      <c r="D10" s="96" t="s">
        <v>668</v>
      </c>
      <c r="E10" s="92" t="s">
        <v>369</v>
      </c>
      <c r="F10" s="97" t="s">
        <v>698</v>
      </c>
      <c r="G10" s="97" t="s">
        <v>385</v>
      </c>
      <c r="H10" s="97" t="s">
        <v>385</v>
      </c>
      <c r="I10" s="50"/>
      <c r="J10" s="97" t="s">
        <v>699</v>
      </c>
      <c r="K10" s="98" t="s">
        <v>413</v>
      </c>
      <c r="L10" s="96" t="s">
        <v>360</v>
      </c>
      <c r="M10" s="97" t="s">
        <v>700</v>
      </c>
      <c r="N10" s="1"/>
      <c r="O10" s="1"/>
      <c r="P10" s="1"/>
      <c r="Q10" s="1"/>
      <c r="R10" s="1"/>
      <c r="S10" s="1"/>
      <c r="T10" s="1"/>
      <c r="U10" s="1"/>
      <c r="V10" s="1"/>
      <c r="W10" s="1"/>
      <c r="X10" s="1"/>
      <c r="Y10" s="1"/>
      <c r="Z10" s="1"/>
    </row>
    <row r="11" ht="19.5" customHeight="1">
      <c r="A11" s="141" t="s">
        <v>701</v>
      </c>
      <c r="B11" s="142" t="s">
        <v>671</v>
      </c>
      <c r="C11" s="144" t="s">
        <v>702</v>
      </c>
      <c r="D11" s="142" t="s">
        <v>668</v>
      </c>
      <c r="E11" s="98" t="s">
        <v>703</v>
      </c>
      <c r="F11" s="144" t="s">
        <v>704</v>
      </c>
      <c r="G11" s="144" t="s">
        <v>385</v>
      </c>
      <c r="H11" s="144" t="s">
        <v>385</v>
      </c>
      <c r="I11" s="145"/>
      <c r="J11" s="144" t="s">
        <v>705</v>
      </c>
      <c r="K11" s="98" t="s">
        <v>413</v>
      </c>
      <c r="L11" s="142" t="s">
        <v>671</v>
      </c>
      <c r="M11" s="144" t="s">
        <v>706</v>
      </c>
      <c r="N11" s="1"/>
      <c r="O11" s="1"/>
      <c r="P11" s="1"/>
      <c r="Q11" s="1"/>
      <c r="R11" s="1"/>
      <c r="S11" s="1"/>
      <c r="T11" s="1"/>
      <c r="U11" s="1"/>
      <c r="V11" s="1"/>
      <c r="W11" s="1"/>
      <c r="X11" s="1"/>
      <c r="Y11" s="1"/>
      <c r="Z11" s="1"/>
    </row>
    <row r="12" ht="19.5" customHeight="1">
      <c r="A12" s="141" t="s">
        <v>707</v>
      </c>
      <c r="B12" s="142" t="s">
        <v>414</v>
      </c>
      <c r="C12" s="144" t="s">
        <v>708</v>
      </c>
      <c r="D12" s="142" t="s">
        <v>668</v>
      </c>
      <c r="E12" s="92" t="s">
        <v>369</v>
      </c>
      <c r="F12" s="144" t="s">
        <v>709</v>
      </c>
      <c r="G12" s="144" t="s">
        <v>76</v>
      </c>
      <c r="H12" s="144" t="s">
        <v>76</v>
      </c>
      <c r="I12" s="50"/>
      <c r="J12" s="144" t="s">
        <v>710</v>
      </c>
      <c r="K12" s="98" t="s">
        <v>413</v>
      </c>
      <c r="L12" s="142" t="s">
        <v>493</v>
      </c>
      <c r="M12" s="144" t="s">
        <v>711</v>
      </c>
      <c r="N12" s="1"/>
      <c r="O12" s="1"/>
      <c r="P12" s="1"/>
      <c r="Q12" s="1"/>
      <c r="R12" s="1"/>
      <c r="S12" s="1"/>
      <c r="T12" s="1"/>
      <c r="U12" s="1"/>
      <c r="V12" s="1"/>
      <c r="W12" s="1"/>
      <c r="X12" s="1"/>
      <c r="Y12" s="1"/>
      <c r="Z12" s="1"/>
    </row>
    <row r="13" ht="19.5" customHeight="1">
      <c r="A13" s="141" t="s">
        <v>712</v>
      </c>
      <c r="B13" s="145"/>
      <c r="C13" s="145"/>
      <c r="D13" s="145"/>
      <c r="E13" s="99" t="s">
        <v>43</v>
      </c>
      <c r="F13" s="145"/>
      <c r="G13" s="145"/>
      <c r="H13" s="145"/>
      <c r="I13" s="145"/>
      <c r="J13" s="145"/>
      <c r="K13" s="92" t="s">
        <v>47</v>
      </c>
      <c r="L13" s="145"/>
      <c r="M13" s="145"/>
      <c r="N13" s="1"/>
      <c r="O13" s="1"/>
      <c r="P13" s="1"/>
      <c r="Q13" s="1"/>
      <c r="R13" s="1"/>
      <c r="S13" s="1"/>
      <c r="T13" s="1"/>
      <c r="U13" s="1"/>
      <c r="V13" s="1"/>
      <c r="W13" s="1"/>
      <c r="X13" s="1"/>
      <c r="Y13" s="1"/>
      <c r="Z13" s="1"/>
    </row>
    <row r="14" ht="19.5" customHeight="1">
      <c r="A14" s="141" t="s">
        <v>713</v>
      </c>
      <c r="B14" s="50"/>
      <c r="C14" s="50"/>
      <c r="D14" s="50"/>
      <c r="E14" s="99" t="s">
        <v>43</v>
      </c>
      <c r="F14" s="50"/>
      <c r="G14" s="50"/>
      <c r="H14" s="50"/>
      <c r="I14" s="50"/>
      <c r="J14" s="50"/>
      <c r="K14" s="92" t="s">
        <v>47</v>
      </c>
      <c r="L14" s="50"/>
      <c r="M14" s="50"/>
      <c r="N14" s="1"/>
      <c r="O14" s="1"/>
      <c r="P14" s="1"/>
      <c r="Q14" s="1"/>
      <c r="R14" s="1"/>
      <c r="S14" s="1"/>
      <c r="T14" s="1"/>
      <c r="U14" s="1"/>
      <c r="V14" s="1"/>
      <c r="W14" s="1"/>
      <c r="X14" s="1"/>
      <c r="Y14" s="1"/>
      <c r="Z14" s="1"/>
    </row>
    <row r="15" ht="19.5" customHeight="1">
      <c r="A15" s="141" t="s">
        <v>714</v>
      </c>
      <c r="B15" s="145"/>
      <c r="C15" s="145"/>
      <c r="D15" s="145"/>
      <c r="E15" s="99" t="s">
        <v>43</v>
      </c>
      <c r="F15" s="145"/>
      <c r="G15" s="145"/>
      <c r="H15" s="145"/>
      <c r="I15" s="145"/>
      <c r="J15" s="145"/>
      <c r="K15" s="92" t="s">
        <v>47</v>
      </c>
      <c r="L15" s="145"/>
      <c r="M15" s="145"/>
      <c r="N15" s="1"/>
      <c r="O15" s="1"/>
      <c r="P15" s="1"/>
      <c r="Q15" s="1"/>
      <c r="R15" s="1"/>
      <c r="S15" s="1"/>
      <c r="T15" s="1"/>
      <c r="U15" s="1"/>
      <c r="V15" s="1"/>
      <c r="W15" s="1"/>
      <c r="X15" s="1"/>
      <c r="Y15" s="1"/>
      <c r="Z15" s="1"/>
    </row>
    <row r="16" ht="19.5" customHeight="1">
      <c r="A16" s="141" t="s">
        <v>715</v>
      </c>
      <c r="B16" s="50"/>
      <c r="C16" s="50"/>
      <c r="D16" s="50"/>
      <c r="E16" s="99" t="s">
        <v>43</v>
      </c>
      <c r="F16" s="50"/>
      <c r="G16" s="50"/>
      <c r="H16" s="50"/>
      <c r="I16" s="50"/>
      <c r="J16" s="50"/>
      <c r="K16" s="92" t="s">
        <v>47</v>
      </c>
      <c r="L16" s="50"/>
      <c r="M16" s="50"/>
      <c r="N16" s="1"/>
      <c r="O16" s="1"/>
      <c r="P16" s="1"/>
      <c r="Q16" s="1"/>
      <c r="R16" s="1"/>
      <c r="S16" s="1"/>
      <c r="T16" s="1"/>
      <c r="U16" s="1"/>
      <c r="V16" s="1"/>
      <c r="W16" s="1"/>
      <c r="X16" s="1"/>
      <c r="Y16" s="1"/>
      <c r="Z16" s="1"/>
    </row>
    <row r="17" ht="19.5" customHeight="1">
      <c r="A17" s="141" t="s">
        <v>716</v>
      </c>
      <c r="B17" s="145"/>
      <c r="C17" s="145"/>
      <c r="D17" s="145"/>
      <c r="E17" s="99" t="s">
        <v>43</v>
      </c>
      <c r="F17" s="145"/>
      <c r="G17" s="145"/>
      <c r="H17" s="145"/>
      <c r="I17" s="145"/>
      <c r="J17" s="145"/>
      <c r="K17" s="92" t="s">
        <v>47</v>
      </c>
      <c r="L17" s="145"/>
      <c r="M17" s="145"/>
      <c r="N17" s="1"/>
      <c r="O17" s="1"/>
      <c r="P17" s="1"/>
      <c r="Q17" s="1"/>
      <c r="R17" s="1"/>
      <c r="S17" s="1"/>
      <c r="T17" s="1"/>
      <c r="U17" s="1"/>
      <c r="V17" s="1"/>
      <c r="W17" s="1"/>
      <c r="X17" s="1"/>
      <c r="Y17" s="1"/>
      <c r="Z17" s="1"/>
    </row>
    <row r="18" ht="19.5" customHeight="1">
      <c r="A18" s="141" t="s">
        <v>717</v>
      </c>
      <c r="B18" s="50"/>
      <c r="C18" s="50"/>
      <c r="D18" s="50"/>
      <c r="E18" s="99" t="s">
        <v>43</v>
      </c>
      <c r="F18" s="50"/>
      <c r="G18" s="50"/>
      <c r="H18" s="50"/>
      <c r="I18" s="50"/>
      <c r="J18" s="50"/>
      <c r="K18" s="92" t="s">
        <v>47</v>
      </c>
      <c r="L18" s="50"/>
      <c r="M18" s="50"/>
      <c r="N18" s="1"/>
      <c r="O18" s="1"/>
      <c r="P18" s="1"/>
      <c r="Q18" s="1"/>
      <c r="R18" s="1"/>
      <c r="S18" s="1"/>
      <c r="T18" s="1"/>
      <c r="U18" s="1"/>
      <c r="V18" s="1"/>
      <c r="W18" s="1"/>
      <c r="X18" s="1"/>
      <c r="Y18" s="1"/>
      <c r="Z18" s="1"/>
    </row>
    <row r="19" ht="19.5" customHeight="1">
      <c r="A19" s="141" t="s">
        <v>718</v>
      </c>
      <c r="B19" s="145"/>
      <c r="C19" s="145"/>
      <c r="D19" s="145"/>
      <c r="E19" s="99" t="s">
        <v>43</v>
      </c>
      <c r="F19" s="145"/>
      <c r="G19" s="145"/>
      <c r="H19" s="145"/>
      <c r="I19" s="145"/>
      <c r="J19" s="145"/>
      <c r="K19" s="92" t="s">
        <v>47</v>
      </c>
      <c r="L19" s="145"/>
      <c r="M19" s="145"/>
      <c r="N19" s="1"/>
      <c r="O19" s="1"/>
      <c r="P19" s="1"/>
      <c r="Q19" s="1"/>
      <c r="R19" s="1"/>
      <c r="S19" s="1"/>
      <c r="T19" s="1"/>
      <c r="U19" s="1"/>
      <c r="V19" s="1"/>
      <c r="W19" s="1"/>
      <c r="X19" s="1"/>
      <c r="Y19" s="1"/>
      <c r="Z19" s="1"/>
    </row>
    <row r="20" ht="19.5" customHeight="1">
      <c r="A20" s="141" t="s">
        <v>719</v>
      </c>
      <c r="B20" s="50"/>
      <c r="C20" s="50"/>
      <c r="D20" s="50"/>
      <c r="E20" s="99" t="s">
        <v>43</v>
      </c>
      <c r="F20" s="50"/>
      <c r="G20" s="50"/>
      <c r="H20" s="50"/>
      <c r="I20" s="50"/>
      <c r="J20" s="50"/>
      <c r="K20" s="92" t="s">
        <v>47</v>
      </c>
      <c r="L20" s="50"/>
      <c r="M20" s="50"/>
      <c r="N20" s="1"/>
      <c r="O20" s="1"/>
      <c r="P20" s="1"/>
      <c r="Q20" s="1"/>
      <c r="R20" s="1"/>
      <c r="S20" s="1"/>
      <c r="T20" s="1"/>
      <c r="U20" s="1"/>
      <c r="V20" s="1"/>
      <c r="W20" s="1"/>
      <c r="X20" s="1"/>
      <c r="Y20" s="1"/>
      <c r="Z20" s="1"/>
    </row>
    <row r="21" ht="19.5" customHeight="1">
      <c r="A21" s="141" t="s">
        <v>720</v>
      </c>
      <c r="B21" s="145"/>
      <c r="C21" s="145"/>
      <c r="D21" s="145"/>
      <c r="E21" s="99" t="s">
        <v>43</v>
      </c>
      <c r="F21" s="145"/>
      <c r="G21" s="145"/>
      <c r="H21" s="145"/>
      <c r="I21" s="145"/>
      <c r="J21" s="145"/>
      <c r="K21" s="92" t="s">
        <v>47</v>
      </c>
      <c r="L21" s="145"/>
      <c r="M21" s="145"/>
      <c r="N21" s="1"/>
      <c r="O21" s="1"/>
      <c r="P21" s="1"/>
      <c r="Q21" s="1"/>
      <c r="R21" s="1"/>
      <c r="S21" s="1"/>
      <c r="T21" s="1"/>
      <c r="U21" s="1"/>
      <c r="V21" s="1"/>
      <c r="W21" s="1"/>
      <c r="X21" s="1"/>
      <c r="Y21" s="1"/>
      <c r="Z21" s="1"/>
    </row>
    <row r="22" ht="19.5" customHeight="1">
      <c r="A22" s="141" t="s">
        <v>721</v>
      </c>
      <c r="B22" s="50"/>
      <c r="C22" s="50"/>
      <c r="D22" s="50"/>
      <c r="E22" s="99" t="s">
        <v>43</v>
      </c>
      <c r="F22" s="50"/>
      <c r="G22" s="50"/>
      <c r="H22" s="50"/>
      <c r="I22" s="50"/>
      <c r="J22" s="50"/>
      <c r="K22" s="92" t="s">
        <v>47</v>
      </c>
      <c r="L22" s="50"/>
      <c r="M22" s="50"/>
      <c r="N22" s="1"/>
      <c r="O22" s="1"/>
      <c r="P22" s="1"/>
      <c r="Q22" s="1"/>
      <c r="R22" s="1"/>
      <c r="S22" s="1"/>
      <c r="T22" s="1"/>
      <c r="U22" s="1"/>
      <c r="V22" s="1"/>
      <c r="W22" s="1"/>
      <c r="X22" s="1"/>
      <c r="Y22" s="1"/>
      <c r="Z22" s="1"/>
    </row>
    <row r="23" ht="19.5" customHeight="1">
      <c r="A23" s="141" t="s">
        <v>722</v>
      </c>
      <c r="B23" s="145"/>
      <c r="C23" s="145"/>
      <c r="D23" s="145"/>
      <c r="E23" s="99" t="s">
        <v>43</v>
      </c>
      <c r="F23" s="145"/>
      <c r="G23" s="145"/>
      <c r="H23" s="145"/>
      <c r="I23" s="145"/>
      <c r="J23" s="145"/>
      <c r="K23" s="92" t="s">
        <v>47</v>
      </c>
      <c r="L23" s="145"/>
      <c r="M23" s="145"/>
      <c r="N23" s="1"/>
      <c r="O23" s="1"/>
      <c r="P23" s="1"/>
      <c r="Q23" s="1"/>
      <c r="R23" s="1"/>
      <c r="S23" s="1"/>
      <c r="T23" s="1"/>
      <c r="U23" s="1"/>
      <c r="V23" s="1"/>
      <c r="W23" s="1"/>
      <c r="X23" s="1"/>
      <c r="Y23" s="1"/>
      <c r="Z23" s="1"/>
    </row>
    <row r="24" ht="19.5" customHeight="1">
      <c r="A24" s="141" t="s">
        <v>723</v>
      </c>
      <c r="B24" s="50"/>
      <c r="C24" s="50"/>
      <c r="D24" s="50"/>
      <c r="E24" s="99" t="s">
        <v>43</v>
      </c>
      <c r="F24" s="50"/>
      <c r="G24" s="50"/>
      <c r="H24" s="50"/>
      <c r="I24" s="50"/>
      <c r="J24" s="50"/>
      <c r="K24" s="92" t="s">
        <v>47</v>
      </c>
      <c r="L24" s="50"/>
      <c r="M24" s="50"/>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row>
    <row r="202" ht="14.25" customHeight="1">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row>
    <row r="203" ht="14.25" customHeight="1">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row>
    <row r="204" ht="14.25" customHeight="1">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row>
    <row r="205" ht="14.25" customHeight="1">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row>
    <row r="206" ht="14.25" customHeight="1">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row>
    <row r="207" ht="14.25" customHeight="1">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row>
    <row r="208" ht="14.25" customHeight="1">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row>
    <row r="209" ht="14.25" customHeight="1">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row>
    <row r="210" ht="14.25" customHeight="1">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row>
    <row r="211" ht="14.25" customHeight="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row>
    <row r="212" ht="14.25" customHeight="1">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row>
    <row r="213" ht="14.25" customHeight="1">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row>
    <row r="214" ht="14.25" customHeight="1">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row>
    <row r="215" ht="14.25" customHeight="1">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row>
    <row r="216" ht="14.25" customHeight="1">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row>
    <row r="217" ht="14.25" customHeight="1">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row>
    <row r="218" ht="14.25" customHeight="1">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row>
    <row r="219" ht="14.25" customHeight="1">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row>
    <row r="220" ht="14.25" customHeight="1">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row>
    <row r="221" ht="14.25" customHeight="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row>
    <row r="222" ht="14.25" customHeight="1">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row>
    <row r="223" ht="14.25" customHeight="1">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row>
    <row r="224" ht="14.25" customHeight="1">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row>
    <row r="225" ht="14.25" customHeight="1">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row>
    <row r="226" ht="14.25" customHeight="1">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row>
    <row r="227" ht="14.25" customHeight="1">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row>
    <row r="228" ht="14.25" customHeight="1">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row>
    <row r="229" ht="14.25" customHeight="1">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row>
    <row r="230" ht="14.25" customHeight="1">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row>
    <row r="231" ht="14.25" customHeight="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row>
    <row r="232" ht="14.25" customHeight="1">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row>
    <row r="233" ht="14.25" customHeight="1">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row>
    <row r="234" ht="14.25" customHeight="1">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row>
    <row r="235" ht="14.25" customHeight="1">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row>
    <row r="236" ht="14.25" customHeight="1">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row>
    <row r="237" ht="14.25" customHeight="1">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row>
    <row r="238" ht="14.25" customHeight="1">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row>
    <row r="239" ht="14.25" customHeight="1">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row>
    <row r="240" ht="14.25" customHeight="1">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row>
    <row r="241" ht="14.25" customHeight="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row>
    <row r="242" ht="14.25" customHeight="1">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row>
    <row r="243" ht="14.25" customHeight="1">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row>
    <row r="244" ht="14.25" customHeight="1">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row>
    <row r="245" ht="14.25" customHeight="1">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row>
    <row r="246" ht="14.25" customHeight="1">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row>
    <row r="247" ht="14.25" customHeight="1">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row>
    <row r="248" ht="14.25" customHeight="1">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row>
    <row r="249" ht="14.25" customHeight="1">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row>
    <row r="250" ht="14.25" customHeight="1">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row>
    <row r="251" ht="14.25" customHeight="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row>
    <row r="252" ht="14.25" customHeight="1">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row>
    <row r="253" ht="14.25" customHeight="1">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row>
    <row r="254" ht="14.25" customHeight="1">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row>
    <row r="255" ht="14.25" customHeight="1">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row>
    <row r="256" ht="14.25" customHeight="1">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row>
    <row r="257" ht="14.25" customHeight="1">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row>
    <row r="258" ht="14.25" customHeight="1">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row>
    <row r="259" ht="14.25" customHeight="1">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row>
    <row r="260" ht="14.25" customHeight="1">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row>
    <row r="261" ht="14.25" customHeight="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row>
    <row r="262" ht="14.25" customHeight="1">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row>
    <row r="263" ht="14.25" customHeight="1">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row>
    <row r="264" ht="14.25" customHeight="1">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row>
    <row r="265" ht="14.25" customHeight="1">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row>
    <row r="266" ht="14.25" customHeight="1">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row>
    <row r="267" ht="14.25" customHeight="1">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row>
    <row r="268" ht="14.25" customHeight="1">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row>
    <row r="269" ht="14.25" customHeight="1">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row>
    <row r="270" ht="14.25" customHeight="1">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row>
    <row r="271" ht="14.25" customHeight="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row>
    <row r="272" ht="14.25" customHeight="1">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row>
    <row r="273" ht="14.25" customHeight="1">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row>
    <row r="274" ht="14.25" customHeight="1">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row>
    <row r="275" ht="14.25" customHeight="1">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row>
    <row r="276" ht="14.25" customHeight="1">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row>
    <row r="277" ht="14.25" customHeight="1">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row>
    <row r="278" ht="14.25" customHeight="1">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row>
    <row r="279" ht="14.25" customHeight="1">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row>
    <row r="280" ht="14.25" customHeight="1">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row>
    <row r="281" ht="14.25" customHeight="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row>
    <row r="282" ht="14.25" customHeight="1">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row>
    <row r="283" ht="14.25" customHeight="1">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row>
    <row r="284" ht="14.25" customHeight="1">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row>
    <row r="285" ht="14.25" customHeight="1">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row>
    <row r="286" ht="14.25" customHeight="1">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row>
    <row r="287" ht="14.25" customHeight="1">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row>
    <row r="288" ht="14.25" customHeight="1">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row>
    <row r="289" ht="14.25" customHeight="1">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row>
    <row r="290" ht="14.25" customHeight="1">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row>
    <row r="291" ht="14.25" customHeight="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row>
    <row r="292" ht="14.25" customHeight="1">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row>
    <row r="293" ht="14.25" customHeight="1">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row>
    <row r="294" ht="14.25" customHeight="1">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row>
    <row r="295" ht="14.25" customHeight="1">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row>
    <row r="296" ht="14.25" customHeight="1">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row>
    <row r="297" ht="14.25" customHeight="1">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row>
    <row r="298" ht="14.25" customHeight="1">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row>
    <row r="299" ht="14.25" customHeight="1">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row>
    <row r="300" ht="14.25" customHeight="1">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row>
    <row r="301" ht="14.25" customHeight="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row>
    <row r="302" ht="14.25" customHeight="1">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row>
    <row r="303" ht="14.25" customHeight="1">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row>
    <row r="304" ht="14.25" customHeight="1">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row>
    <row r="305" ht="14.25" customHeight="1">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row>
    <row r="306" ht="14.25" customHeight="1">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row>
    <row r="307" ht="14.25" customHeight="1">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row>
    <row r="308" ht="14.25" customHeight="1">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row>
    <row r="309" ht="14.25" customHeight="1">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row>
    <row r="310" ht="14.25" customHeight="1">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row>
    <row r="311" ht="14.25" customHeight="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row>
    <row r="312" ht="14.25" customHeight="1">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row>
    <row r="313" ht="14.25" customHeight="1">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row>
    <row r="314" ht="14.25" customHeight="1">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row>
    <row r="315" ht="14.25" customHeight="1">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row>
    <row r="316" ht="14.25" customHeight="1">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row>
    <row r="317" ht="14.25" customHeight="1">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row>
    <row r="318" ht="14.25" customHeight="1">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row>
    <row r="319" ht="14.25" customHeight="1">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row>
    <row r="320" ht="14.25" customHeight="1">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row>
    <row r="321" ht="14.25" customHeight="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row>
    <row r="322" ht="14.25" customHeight="1">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row>
    <row r="323" ht="14.25" customHeight="1">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row>
    <row r="324" ht="14.25" customHeight="1">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row>
    <row r="325" ht="14.25" customHeight="1">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row>
    <row r="326" ht="14.25" customHeight="1">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row>
    <row r="327" ht="14.25" customHeight="1">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row>
    <row r="328" ht="14.25" customHeight="1">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row>
    <row r="329" ht="14.25" customHeight="1">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row>
    <row r="330" ht="14.25" customHeight="1">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row>
    <row r="331" ht="14.25" customHeight="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row>
    <row r="332" ht="14.25" customHeight="1">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row>
    <row r="333" ht="14.25" customHeight="1">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row>
    <row r="334" ht="14.25" customHeight="1">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row>
    <row r="335" ht="14.25" customHeight="1">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row>
    <row r="336" ht="14.25" customHeight="1">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row>
    <row r="337" ht="14.25" customHeight="1">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row>
    <row r="338" ht="14.25" customHeight="1">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row>
    <row r="339" ht="14.25" customHeight="1">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row>
    <row r="340" ht="14.25" customHeight="1">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row>
    <row r="341" ht="14.25" customHeight="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row>
    <row r="342" ht="14.25" customHeight="1">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row>
    <row r="343" ht="14.25" customHeight="1">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row>
    <row r="344" ht="14.25" customHeight="1">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row>
    <row r="345" ht="14.25" customHeight="1">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row>
    <row r="346" ht="14.25" customHeight="1">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row>
    <row r="347" ht="14.25" customHeight="1">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row>
    <row r="348" ht="14.25" customHeight="1">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row>
    <row r="349" ht="14.25" customHeight="1">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row>
    <row r="350" ht="14.25" customHeight="1">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row>
    <row r="351" ht="14.25" customHeight="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row>
    <row r="352" ht="14.25" customHeight="1">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row>
    <row r="353" ht="14.25" customHeight="1">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row>
    <row r="354" ht="14.25" customHeight="1">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row>
    <row r="355" ht="14.25" customHeight="1">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row>
    <row r="356" ht="14.25" customHeight="1">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row>
    <row r="357" ht="14.25" customHeight="1">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row>
    <row r="358" ht="14.25" customHeight="1">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row>
    <row r="359" ht="14.25" customHeight="1">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row>
    <row r="360" ht="14.25" customHeight="1">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row>
    <row r="361" ht="14.25" customHeight="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row>
    <row r="362" ht="14.25" customHeight="1">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row>
    <row r="363" ht="14.25" customHeight="1">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row>
    <row r="364" ht="14.25" customHeight="1">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row>
    <row r="365" ht="14.25" customHeight="1">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row>
    <row r="366" ht="14.25" customHeight="1">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row>
    <row r="367" ht="14.25" customHeight="1">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row>
    <row r="368" ht="14.25" customHeight="1">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row>
    <row r="369" ht="14.25" customHeight="1">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row>
    <row r="370" ht="14.25" customHeight="1">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row>
    <row r="371" ht="14.25" customHeight="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row>
    <row r="372" ht="14.25" customHeight="1">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row>
    <row r="373" ht="14.25" customHeight="1">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row>
    <row r="374" ht="14.25" customHeight="1">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row>
    <row r="375" ht="14.25" customHeight="1">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row>
    <row r="376" ht="14.25" customHeight="1">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row>
    <row r="377" ht="14.25" customHeight="1">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row>
    <row r="378" ht="14.25" customHeight="1">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row>
    <row r="379" ht="14.25" customHeight="1">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row>
    <row r="380" ht="14.25" customHeight="1">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row>
    <row r="381" ht="14.25" customHeight="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row>
    <row r="382" ht="14.25" customHeight="1">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row>
    <row r="383" ht="14.25" customHeight="1">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row>
    <row r="384" ht="14.25" customHeight="1">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row>
    <row r="385" ht="14.25" customHeight="1">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row>
    <row r="386" ht="14.25" customHeight="1">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row>
    <row r="387" ht="14.25" customHeight="1">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row>
    <row r="388" ht="14.25" customHeight="1">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row>
    <row r="389" ht="14.25" customHeight="1">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row>
    <row r="390" ht="14.25" customHeight="1">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row>
    <row r="391" ht="14.25" customHeight="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row>
    <row r="392" ht="14.25" customHeight="1">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row>
    <row r="393" ht="14.25" customHeight="1">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row>
    <row r="394" ht="14.25" customHeight="1">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row>
    <row r="395" ht="14.25" customHeight="1">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row>
    <row r="396" ht="14.25" customHeight="1">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row>
    <row r="397" ht="14.25" customHeight="1">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row>
    <row r="398" ht="14.25" customHeight="1">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row>
    <row r="399" ht="14.25" customHeight="1">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row>
    <row r="400" ht="14.25" customHeight="1">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row>
    <row r="401" ht="14.25" customHeight="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row>
    <row r="402" ht="14.25" customHeight="1">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row>
    <row r="403" ht="14.25" customHeight="1">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row>
    <row r="404" ht="14.25" customHeight="1">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row>
    <row r="405" ht="14.25" customHeight="1">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row>
    <row r="406" ht="14.25" customHeight="1">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row>
    <row r="407" ht="14.25" customHeight="1">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row>
    <row r="408" ht="14.25" customHeight="1">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row>
    <row r="409" ht="14.25" customHeight="1">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row>
    <row r="410" ht="14.25" customHeight="1">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row>
    <row r="411" ht="14.25" customHeight="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row>
    <row r="412" ht="14.25" customHeight="1">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row>
    <row r="413" ht="14.25" customHeight="1">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row>
    <row r="414" ht="14.25" customHeight="1">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row>
    <row r="415" ht="14.25" customHeight="1">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row>
    <row r="416" ht="14.25" customHeight="1">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row>
    <row r="417" ht="14.25" customHeight="1">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row>
    <row r="418" ht="14.25" customHeight="1">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row>
    <row r="419" ht="14.25" customHeight="1">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row>
    <row r="420" ht="14.25" customHeight="1">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row>
    <row r="421" ht="14.25" customHeight="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row>
    <row r="422" ht="14.25" customHeight="1">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row>
    <row r="423" ht="14.25" customHeight="1">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row>
    <row r="424" ht="14.25" customHeight="1">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row>
    <row r="425" ht="14.25" customHeight="1">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row>
    <row r="426" ht="14.25" customHeight="1">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row>
    <row r="427" ht="14.25" customHeight="1">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row>
    <row r="428" ht="14.25" customHeight="1">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row>
    <row r="429" ht="14.25" customHeight="1">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row>
    <row r="430" ht="14.25" customHeight="1">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row>
    <row r="431" ht="14.25" customHeight="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row>
    <row r="432" ht="14.25" customHeight="1">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row>
    <row r="433" ht="14.25" customHeight="1">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row>
    <row r="434" ht="14.25" customHeight="1">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row>
    <row r="435" ht="14.25" customHeight="1">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row>
    <row r="436" ht="14.25" customHeight="1">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row>
    <row r="437" ht="14.25" customHeight="1">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row>
    <row r="438" ht="14.25" customHeight="1">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row>
    <row r="439" ht="14.25" customHeight="1">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row>
    <row r="440" ht="14.25" customHeight="1">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row>
    <row r="441" ht="14.25" customHeight="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row>
    <row r="442" ht="14.25" customHeight="1">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row>
    <row r="443" ht="14.25" customHeight="1">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row>
    <row r="444" ht="14.25" customHeight="1">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row>
    <row r="445" ht="14.25" customHeight="1">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row>
    <row r="446" ht="14.25" customHeight="1">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row>
    <row r="447" ht="14.25" customHeight="1">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row>
    <row r="448" ht="14.25" customHeight="1">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row>
    <row r="449" ht="14.25" customHeight="1">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row>
    <row r="450" ht="14.25" customHeight="1">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row>
    <row r="451" ht="14.25" customHeight="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row>
    <row r="452" ht="14.25" customHeight="1">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row>
    <row r="453" ht="14.25" customHeight="1">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row>
    <row r="454" ht="14.25" customHeight="1">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row>
    <row r="455" ht="14.25" customHeight="1">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row>
    <row r="456" ht="14.25" customHeight="1">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row>
    <row r="457" ht="14.25" customHeight="1">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row>
    <row r="458" ht="14.25" customHeight="1">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row>
    <row r="459" ht="14.25" customHeight="1">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row>
    <row r="460" ht="14.25" customHeight="1">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row>
    <row r="461" ht="14.25" customHeight="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row>
    <row r="462" ht="14.25" customHeight="1">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row>
    <row r="463" ht="14.25" customHeight="1">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row>
    <row r="464" ht="14.25" customHeight="1">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row>
    <row r="465" ht="14.25" customHeight="1">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row>
    <row r="466" ht="14.25" customHeight="1">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row>
    <row r="467" ht="14.25" customHeight="1">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row>
    <row r="468" ht="14.25" customHeight="1">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row>
    <row r="469" ht="14.25" customHeight="1">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row>
    <row r="470" ht="14.25" customHeight="1">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row>
    <row r="471" ht="14.25" customHeight="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row>
    <row r="472" ht="14.25" customHeight="1">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row>
    <row r="473" ht="14.25" customHeight="1">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row>
    <row r="474" ht="14.25" customHeight="1">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row>
    <row r="475" ht="14.25" customHeight="1">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row>
    <row r="476" ht="14.25" customHeight="1">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row>
    <row r="477" ht="14.25" customHeight="1">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row>
    <row r="478" ht="14.25" customHeight="1">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row>
    <row r="479" ht="14.25" customHeight="1">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row>
    <row r="480" ht="14.25" customHeight="1">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row>
    <row r="481" ht="14.25" customHeight="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row>
    <row r="482" ht="14.25" customHeight="1">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row>
    <row r="483" ht="14.25" customHeight="1">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row>
    <row r="484" ht="14.25" customHeight="1">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row>
    <row r="485" ht="14.25" customHeight="1">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row>
    <row r="486" ht="14.25" customHeight="1">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row>
    <row r="487" ht="14.25" customHeight="1">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row>
    <row r="488" ht="14.25" customHeight="1">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row>
    <row r="489" ht="14.25" customHeight="1">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row>
    <row r="490" ht="14.25" customHeight="1">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row>
    <row r="491" ht="14.25" customHeight="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row>
    <row r="492" ht="14.25" customHeight="1">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row>
    <row r="493" ht="14.25" customHeight="1">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row>
    <row r="494" ht="14.25" customHeight="1">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row>
    <row r="495" ht="14.25" customHeight="1">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row>
    <row r="496" ht="14.25" customHeight="1">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row>
    <row r="497" ht="14.25" customHeight="1">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row>
    <row r="498" ht="14.25" customHeight="1">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row>
    <row r="499" ht="14.25" customHeight="1">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row>
    <row r="500" ht="14.25" customHeight="1">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row>
    <row r="501" ht="14.25" customHeight="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row>
    <row r="502" ht="14.25" customHeight="1">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row>
    <row r="503" ht="14.25" customHeight="1">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row>
    <row r="504" ht="14.25" customHeight="1">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row>
    <row r="505" ht="14.25" customHeight="1">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row>
    <row r="506" ht="14.25" customHeight="1">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row>
    <row r="507" ht="14.25" customHeight="1">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row>
    <row r="508" ht="14.25" customHeight="1">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row>
    <row r="509" ht="14.25" customHeight="1">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row>
    <row r="510" ht="14.25" customHeight="1">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row>
    <row r="511" ht="14.25" customHeight="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row>
    <row r="512" ht="14.25" customHeight="1">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row>
    <row r="513" ht="14.25" customHeight="1">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row>
    <row r="514" ht="14.25" customHeight="1">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row>
    <row r="515" ht="14.25" customHeight="1">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row>
    <row r="516" ht="14.25" customHeight="1">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row>
    <row r="517" ht="14.25" customHeight="1">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row>
    <row r="518" ht="14.25" customHeight="1">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row>
    <row r="519" ht="14.25" customHeight="1">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row>
    <row r="520" ht="14.25" customHeight="1">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row>
    <row r="521" ht="14.25" customHeight="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row>
    <row r="522" ht="14.25" customHeight="1">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row>
    <row r="523" ht="14.25" customHeight="1">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row>
    <row r="524" ht="14.25" customHeight="1">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row>
    <row r="525" ht="14.25" customHeight="1">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row>
    <row r="526" ht="14.25" customHeight="1">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row>
    <row r="527" ht="14.25" customHeight="1">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row>
    <row r="528" ht="14.25" customHeight="1">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row>
    <row r="529" ht="14.25" customHeight="1">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row>
    <row r="530" ht="14.25" customHeight="1">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row>
    <row r="531" ht="14.25" customHeight="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row>
    <row r="532" ht="14.25" customHeight="1">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row>
    <row r="533" ht="14.25" customHeight="1">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row>
    <row r="534" ht="14.25" customHeight="1">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row>
    <row r="535" ht="14.25" customHeight="1">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row>
    <row r="536" ht="14.25" customHeight="1">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row>
    <row r="537" ht="14.25" customHeight="1">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row>
    <row r="538" ht="14.25" customHeight="1">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row>
    <row r="539" ht="14.25" customHeight="1">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row>
    <row r="540" ht="14.25" customHeight="1">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row>
    <row r="541" ht="14.25" customHeight="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row>
    <row r="542" ht="14.25" customHeight="1">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row>
    <row r="543" ht="14.25" customHeight="1">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row>
    <row r="544" ht="14.25" customHeight="1">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row>
    <row r="545" ht="14.25" customHeight="1">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row>
    <row r="546" ht="14.25" customHeight="1">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row>
    <row r="547" ht="14.25" customHeight="1">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row>
    <row r="548" ht="14.25" customHeight="1">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row>
    <row r="549" ht="14.25" customHeight="1">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row>
    <row r="550" ht="14.25" customHeight="1">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row>
    <row r="551" ht="14.25" customHeight="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row>
    <row r="552" ht="14.25" customHeight="1">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row>
    <row r="553" ht="14.25" customHeight="1">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row>
    <row r="554" ht="14.25" customHeight="1">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row>
    <row r="555" ht="14.25" customHeight="1">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row>
    <row r="556" ht="14.25" customHeight="1">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row>
    <row r="557" ht="14.25" customHeight="1">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row>
    <row r="558" ht="14.25" customHeight="1">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row>
    <row r="559" ht="14.25" customHeight="1">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row>
    <row r="560" ht="14.25" customHeight="1">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row>
    <row r="561" ht="14.25" customHeight="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row>
    <row r="562" ht="14.25" customHeight="1">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row>
    <row r="563" ht="14.25" customHeight="1">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row>
    <row r="564" ht="14.25" customHeight="1">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row>
    <row r="565" ht="14.25" customHeight="1">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row>
    <row r="566" ht="14.25" customHeight="1">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row>
    <row r="567" ht="14.25" customHeight="1">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row>
    <row r="568" ht="14.25" customHeight="1">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row>
    <row r="569" ht="14.25" customHeight="1">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row>
    <row r="570" ht="14.25" customHeight="1">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row>
    <row r="571" ht="14.25" customHeight="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row>
    <row r="572" ht="14.25" customHeight="1">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row>
    <row r="573" ht="14.25" customHeight="1">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row>
    <row r="574" ht="14.25" customHeight="1">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row>
    <row r="575" ht="14.25" customHeight="1">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row>
    <row r="576" ht="14.25" customHeight="1">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row>
    <row r="577" ht="14.25" customHeight="1">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row>
    <row r="578" ht="14.25" customHeight="1">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row>
    <row r="579" ht="14.25" customHeight="1">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row>
    <row r="580" ht="14.25" customHeight="1">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row>
    <row r="581" ht="14.25" customHeight="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row>
    <row r="582" ht="14.25" customHeight="1">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row>
    <row r="583" ht="14.25" customHeight="1">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row>
    <row r="584" ht="14.25" customHeight="1">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row>
    <row r="585" ht="14.25" customHeight="1">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row>
    <row r="586" ht="14.25" customHeight="1">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row>
    <row r="587" ht="14.25" customHeight="1">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row>
    <row r="588" ht="14.25" customHeight="1">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row>
    <row r="589" ht="14.25" customHeight="1">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row>
    <row r="590" ht="14.25" customHeight="1">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row>
    <row r="591" ht="14.25" customHeight="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row>
    <row r="592" ht="14.25" customHeight="1">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row>
    <row r="593" ht="14.25" customHeight="1">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row>
    <row r="594" ht="14.25" customHeight="1">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row>
    <row r="595" ht="14.25" customHeight="1">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row>
    <row r="596" ht="14.25" customHeight="1">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row>
    <row r="597" ht="14.25" customHeight="1">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row>
    <row r="598" ht="14.25" customHeight="1">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row>
    <row r="599" ht="14.25" customHeight="1">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row>
    <row r="600" ht="14.25" customHeight="1">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row>
    <row r="601" ht="14.25" customHeight="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row>
    <row r="602" ht="14.25" customHeight="1">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row>
    <row r="603" ht="14.25" customHeight="1">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row>
    <row r="604" ht="14.25" customHeight="1">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row>
    <row r="605" ht="14.25" customHeight="1">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row>
    <row r="606" ht="14.25" customHeight="1">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row>
    <row r="607" ht="14.25" customHeight="1">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row>
    <row r="608" ht="14.25" customHeight="1">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row>
    <row r="609" ht="14.25" customHeight="1">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row>
    <row r="610" ht="14.25" customHeight="1">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row>
    <row r="611" ht="14.25" customHeight="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row>
    <row r="612" ht="14.25" customHeight="1">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row>
    <row r="613" ht="14.25" customHeight="1">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row>
    <row r="614" ht="14.25" customHeight="1">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row>
    <row r="615" ht="14.25" customHeight="1">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row>
    <row r="616" ht="14.25" customHeight="1">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row>
    <row r="617" ht="14.25" customHeight="1">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row>
    <row r="618" ht="14.25" customHeight="1">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row>
    <row r="619" ht="14.25" customHeight="1">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row>
    <row r="620" ht="14.25" customHeight="1">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row>
    <row r="621" ht="14.25" customHeight="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row>
    <row r="622" ht="14.25" customHeight="1">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row>
    <row r="623" ht="14.25" customHeight="1">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row>
    <row r="624" ht="14.25" customHeight="1">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row>
    <row r="625" ht="14.25" customHeight="1">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row>
    <row r="626" ht="14.25" customHeight="1">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row>
    <row r="627" ht="14.25" customHeight="1">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row>
    <row r="628" ht="14.25" customHeight="1">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row>
    <row r="629" ht="14.25" customHeight="1">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row>
    <row r="630" ht="14.25" customHeight="1">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row>
    <row r="631" ht="14.25" customHeight="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row>
    <row r="632" ht="14.25" customHeight="1">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row>
    <row r="633" ht="14.25" customHeight="1">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row>
    <row r="634" ht="14.25" customHeight="1">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row>
    <row r="635" ht="14.25" customHeight="1">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row>
    <row r="636" ht="14.25" customHeight="1">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row>
    <row r="637" ht="14.25" customHeight="1">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row>
    <row r="638" ht="14.25" customHeight="1">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row>
    <row r="639" ht="14.25" customHeight="1">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row>
    <row r="640" ht="14.25" customHeight="1">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row>
    <row r="641" ht="14.25" customHeight="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row>
    <row r="642" ht="14.25" customHeight="1">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row>
    <row r="643" ht="14.25" customHeight="1">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row>
    <row r="644" ht="14.25" customHeight="1">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row>
    <row r="645" ht="14.25" customHeight="1">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row>
    <row r="646" ht="14.25" customHeight="1">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row>
    <row r="647" ht="14.25" customHeight="1">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row>
    <row r="648" ht="14.25" customHeight="1">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row>
    <row r="649" ht="14.25" customHeight="1">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row>
    <row r="650" ht="14.25" customHeight="1">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row>
    <row r="651" ht="14.25" customHeight="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row>
    <row r="652" ht="14.25" customHeight="1">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row>
    <row r="653" ht="14.25" customHeight="1">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row>
    <row r="654" ht="14.25" customHeight="1">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row>
    <row r="655" ht="14.25" customHeight="1">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row>
    <row r="656" ht="14.25" customHeight="1">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row>
    <row r="657" ht="14.25" customHeight="1">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row>
    <row r="658" ht="14.25" customHeight="1">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row>
    <row r="659" ht="14.25" customHeight="1">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row>
    <row r="660" ht="14.25" customHeight="1">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row>
    <row r="661" ht="14.25" customHeight="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row>
    <row r="662" ht="14.25" customHeight="1">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row>
    <row r="663" ht="14.25" customHeight="1">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row>
    <row r="664" ht="14.25" customHeight="1">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row>
    <row r="665" ht="14.25" customHeight="1">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row>
    <row r="666" ht="14.25" customHeight="1">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row>
    <row r="667" ht="14.25" customHeight="1">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row>
    <row r="668" ht="14.25" customHeight="1">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row>
    <row r="669" ht="14.25" customHeight="1">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row>
    <row r="670" ht="14.25" customHeight="1">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row>
    <row r="671" ht="14.25" customHeight="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row>
    <row r="672" ht="14.25" customHeight="1">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row>
    <row r="673" ht="14.25" customHeight="1">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row>
    <row r="674" ht="14.25" customHeight="1">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row>
    <row r="675" ht="14.25" customHeight="1">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row>
    <row r="676" ht="14.25" customHeight="1">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row>
    <row r="677" ht="14.25" customHeight="1">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row>
    <row r="678" ht="14.25" customHeight="1">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row>
    <row r="679" ht="14.25" customHeight="1">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row>
    <row r="680" ht="14.25" customHeight="1">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row>
    <row r="681" ht="14.25" customHeight="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row>
    <row r="682" ht="14.25" customHeight="1">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row>
    <row r="683" ht="14.25" customHeight="1">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row>
    <row r="684" ht="14.25" customHeight="1">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row>
    <row r="685" ht="14.25" customHeight="1">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row>
    <row r="686" ht="14.25" customHeight="1">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row>
    <row r="687" ht="14.25" customHeight="1">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row>
    <row r="688" ht="14.25" customHeight="1">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row>
    <row r="689" ht="14.25" customHeight="1">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row>
    <row r="690" ht="14.25" customHeight="1">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row>
    <row r="691" ht="14.25" customHeight="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row>
    <row r="692" ht="14.25" customHeight="1">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row>
    <row r="693" ht="14.25" customHeight="1">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row>
    <row r="694" ht="14.25" customHeight="1">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row>
    <row r="695" ht="14.25" customHeight="1">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row>
    <row r="696" ht="14.25" customHeight="1">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row>
    <row r="697" ht="14.25" customHeight="1">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row>
    <row r="698" ht="14.25" customHeight="1">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row>
    <row r="699" ht="14.25" customHeight="1">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row>
    <row r="700" ht="14.25" customHeight="1">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row>
    <row r="701" ht="14.25" customHeight="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row>
    <row r="702" ht="14.25" customHeight="1">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row>
    <row r="703" ht="14.25" customHeight="1">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row>
    <row r="704" ht="14.25" customHeight="1">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row>
    <row r="705" ht="14.25" customHeight="1">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row>
    <row r="706" ht="14.25" customHeight="1">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row>
    <row r="707" ht="14.25" customHeight="1">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row>
    <row r="708" ht="14.25" customHeight="1">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row>
    <row r="709" ht="14.25" customHeight="1">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row>
    <row r="710" ht="14.25" customHeight="1">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row>
    <row r="711" ht="14.25" customHeight="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row>
    <row r="712" ht="14.25" customHeight="1">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row>
    <row r="713" ht="14.25" customHeight="1">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row>
    <row r="714" ht="14.25" customHeight="1">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row>
    <row r="715" ht="14.25" customHeight="1">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row>
    <row r="716" ht="14.25" customHeight="1">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row>
    <row r="717" ht="14.25" customHeight="1">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row>
    <row r="718" ht="14.25" customHeight="1">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row>
    <row r="719" ht="14.25" customHeight="1">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row>
    <row r="720" ht="14.25" customHeight="1">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row>
    <row r="721" ht="14.25" customHeight="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row>
    <row r="722" ht="14.25" customHeight="1">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row>
    <row r="723" ht="14.25" customHeight="1">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row>
    <row r="724" ht="14.25" customHeight="1">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row>
    <row r="725" ht="14.25" customHeight="1">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row>
    <row r="726" ht="14.25" customHeight="1">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row>
    <row r="727" ht="14.25" customHeight="1">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row>
    <row r="728" ht="14.25" customHeight="1">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row>
    <row r="729" ht="14.25" customHeight="1">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row>
    <row r="730" ht="14.25" customHeight="1">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row>
    <row r="731" ht="14.25" customHeight="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row>
    <row r="732" ht="14.25" customHeight="1">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row>
    <row r="733" ht="14.25" customHeight="1">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row>
    <row r="734" ht="14.25" customHeight="1">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row>
    <row r="735" ht="14.25" customHeight="1">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row>
    <row r="736" ht="14.25" customHeight="1">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row>
    <row r="737" ht="14.25" customHeight="1">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row>
    <row r="738" ht="14.25" customHeight="1">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row>
    <row r="739" ht="14.25" customHeight="1">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row>
    <row r="740" ht="14.25" customHeight="1">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row>
    <row r="741" ht="14.25" customHeight="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row>
    <row r="742" ht="14.25" customHeight="1">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row>
    <row r="743" ht="14.25" customHeight="1">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row>
    <row r="744" ht="14.25" customHeight="1">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row>
    <row r="745" ht="14.25" customHeight="1">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row>
    <row r="746" ht="14.25" customHeight="1">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row>
    <row r="747" ht="14.25" customHeight="1">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row>
    <row r="748" ht="14.25" customHeight="1">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row>
    <row r="749" ht="14.25" customHeight="1">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row>
    <row r="750" ht="14.25" customHeight="1">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row>
    <row r="751" ht="14.25" customHeight="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row>
    <row r="752" ht="14.25" customHeight="1">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row>
    <row r="753" ht="14.25" customHeight="1">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row>
    <row r="754" ht="14.25" customHeight="1">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row>
    <row r="755" ht="14.25" customHeight="1">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row>
    <row r="756" ht="14.25" customHeight="1">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row>
    <row r="757" ht="14.25" customHeight="1">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row>
    <row r="758" ht="14.25" customHeight="1">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row>
    <row r="759" ht="14.25" customHeight="1">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row>
    <row r="760" ht="14.25" customHeight="1">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row>
    <row r="761" ht="14.25" customHeight="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row>
    <row r="762" ht="14.25" customHeight="1">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row>
    <row r="763" ht="14.25" customHeight="1">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row>
    <row r="764" ht="14.25" customHeight="1">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row>
    <row r="765" ht="14.25" customHeight="1">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row>
    <row r="766" ht="14.25" customHeight="1">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row>
    <row r="767" ht="14.25" customHeight="1">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row>
    <row r="768" ht="14.25" customHeight="1">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row>
    <row r="769" ht="14.25" customHeight="1">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row>
    <row r="770" ht="14.25" customHeight="1">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row>
    <row r="771" ht="14.25" customHeight="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row>
    <row r="772" ht="14.25" customHeight="1">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row>
    <row r="773" ht="14.25" customHeight="1">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row>
    <row r="774" ht="14.25" customHeight="1">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row>
    <row r="775" ht="14.25" customHeight="1">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row>
    <row r="776" ht="14.25" customHeight="1">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row>
    <row r="777" ht="14.25" customHeight="1">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row>
    <row r="778" ht="14.25" customHeight="1">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row>
    <row r="779" ht="14.25" customHeight="1">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row>
    <row r="780" ht="14.25" customHeight="1">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row>
    <row r="781" ht="14.25" customHeight="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row>
    <row r="782" ht="14.25" customHeight="1">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row>
    <row r="783" ht="14.25" customHeight="1">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row>
    <row r="784" ht="14.25" customHeight="1">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row>
    <row r="785" ht="14.25" customHeight="1">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row>
    <row r="786" ht="14.25" customHeight="1">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row>
    <row r="787" ht="14.25" customHeight="1">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row>
    <row r="788" ht="14.25" customHeight="1">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row>
    <row r="789" ht="14.25" customHeight="1">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row>
    <row r="790" ht="14.25" customHeight="1">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row>
    <row r="791" ht="14.25" customHeight="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row>
    <row r="792" ht="14.25" customHeight="1">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row>
    <row r="793" ht="14.25" customHeight="1">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row>
    <row r="794" ht="14.25" customHeight="1">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row>
    <row r="795" ht="14.25" customHeight="1">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row>
    <row r="796" ht="14.25" customHeight="1">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row>
    <row r="797" ht="14.25" customHeight="1">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row>
    <row r="798" ht="14.25" customHeight="1">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row>
    <row r="799" ht="14.25" customHeight="1">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row>
    <row r="800" ht="14.25" customHeight="1">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row>
    <row r="801" ht="14.25" customHeight="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row>
    <row r="802" ht="14.25" customHeight="1">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row>
    <row r="803" ht="14.25" customHeight="1">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row>
    <row r="804" ht="14.25" customHeight="1">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row>
    <row r="805" ht="14.25" customHeight="1">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row>
    <row r="806" ht="14.25" customHeight="1">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row>
    <row r="807" ht="14.25" customHeight="1">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row>
    <row r="808" ht="14.25" customHeight="1">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row>
    <row r="809" ht="14.25" customHeight="1">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row>
    <row r="810" ht="14.25" customHeight="1">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row>
    <row r="811" ht="14.25" customHeight="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row>
    <row r="812" ht="14.25" customHeight="1">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row>
    <row r="813" ht="14.25" customHeight="1">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row>
    <row r="814" ht="14.25" customHeight="1">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row>
    <row r="815" ht="14.25" customHeight="1">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row>
    <row r="816" ht="14.25" customHeight="1">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row>
    <row r="817" ht="14.25" customHeight="1">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row>
    <row r="818" ht="14.25" customHeight="1">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row>
    <row r="819" ht="14.25" customHeight="1">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row>
    <row r="820" ht="14.25" customHeight="1">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row>
    <row r="821" ht="14.25" customHeight="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row>
    <row r="822" ht="14.25" customHeight="1">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row>
    <row r="823" ht="14.25" customHeight="1">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row>
    <row r="824" ht="14.25" customHeight="1">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row>
    <row r="825" ht="14.25" customHeight="1">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row>
    <row r="826" ht="14.25" customHeight="1">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row>
    <row r="827" ht="14.25" customHeight="1">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row>
    <row r="828" ht="14.25" customHeight="1">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row>
    <row r="829" ht="14.25" customHeight="1">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row>
    <row r="830" ht="14.25" customHeight="1">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row>
    <row r="831" ht="14.25" customHeight="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row>
    <row r="832" ht="14.25" customHeight="1">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row>
    <row r="833" ht="14.25" customHeight="1">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row>
    <row r="834" ht="14.25" customHeight="1">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row>
    <row r="835" ht="14.25" customHeight="1">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row>
    <row r="836" ht="14.25" customHeight="1">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row>
    <row r="837" ht="14.25" customHeight="1">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row>
    <row r="838" ht="14.25" customHeight="1">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row>
    <row r="839" ht="14.25" customHeight="1">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row>
    <row r="840" ht="14.25" customHeight="1">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row>
    <row r="841" ht="14.25" customHeight="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row>
    <row r="842" ht="14.25" customHeight="1">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row>
    <row r="843" ht="14.25" customHeight="1">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row>
    <row r="844" ht="14.25" customHeight="1">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row>
    <row r="845" ht="14.25" customHeight="1">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row>
    <row r="846" ht="14.25" customHeight="1">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row>
    <row r="847" ht="14.25" customHeight="1">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row>
    <row r="848" ht="14.25" customHeight="1">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row>
    <row r="849" ht="14.25" customHeight="1">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row>
    <row r="850" ht="14.25" customHeight="1">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row>
    <row r="851" ht="14.25" customHeight="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row>
    <row r="852" ht="14.25" customHeight="1">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row>
    <row r="853" ht="14.25" customHeight="1">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row>
    <row r="854" ht="14.25" customHeight="1">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row>
    <row r="855" ht="14.25" customHeight="1">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row>
    <row r="856" ht="14.25" customHeight="1">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row>
    <row r="857" ht="14.25" customHeight="1">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row>
    <row r="858" ht="14.25" customHeight="1">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row>
    <row r="859" ht="14.25" customHeight="1">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row>
    <row r="860" ht="14.25" customHeight="1">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row>
    <row r="861" ht="14.25" customHeight="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row>
    <row r="862" ht="14.25" customHeight="1">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row>
    <row r="863" ht="14.25" customHeight="1">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row>
    <row r="864" ht="14.25" customHeight="1">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row>
    <row r="865" ht="14.25" customHeight="1">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row>
    <row r="866" ht="14.25" customHeight="1">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row>
    <row r="867" ht="14.25" customHeight="1">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row>
    <row r="868" ht="14.25" customHeight="1">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row>
    <row r="869" ht="14.25" customHeight="1">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row>
    <row r="870" ht="14.25" customHeight="1">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row>
    <row r="871" ht="14.25" customHeight="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row>
    <row r="872" ht="14.25" customHeight="1">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row>
    <row r="873" ht="14.25" customHeight="1">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row>
    <row r="874" ht="14.25" customHeight="1">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row>
    <row r="875" ht="14.25" customHeight="1">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row>
    <row r="876" ht="14.25" customHeight="1">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row>
    <row r="877" ht="14.25" customHeight="1">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row>
    <row r="878" ht="14.25" customHeight="1">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row>
    <row r="879" ht="14.25" customHeight="1">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row>
    <row r="880" ht="14.25" customHeight="1">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row>
    <row r="881" ht="14.25" customHeight="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row>
    <row r="882" ht="14.25" customHeight="1">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row>
    <row r="883" ht="14.25" customHeight="1">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row>
    <row r="884" ht="14.25" customHeight="1">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row>
    <row r="885" ht="14.25" customHeight="1">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row>
    <row r="886" ht="14.25" customHeight="1">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row>
    <row r="887" ht="14.25" customHeight="1">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row>
    <row r="888" ht="14.25" customHeight="1">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row>
    <row r="889" ht="14.25" customHeight="1">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row>
    <row r="890" ht="14.25" customHeight="1">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row>
    <row r="891" ht="14.25" customHeight="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row>
    <row r="892" ht="14.25" customHeight="1">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row>
    <row r="893" ht="14.25" customHeight="1">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row>
    <row r="894" ht="14.25" customHeight="1">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row>
    <row r="895" ht="14.25" customHeight="1">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row>
    <row r="896" ht="14.25" customHeight="1">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row>
    <row r="897" ht="14.25" customHeight="1">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row>
    <row r="898" ht="14.25" customHeight="1">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row>
    <row r="899" ht="14.25" customHeight="1">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row>
    <row r="900" ht="14.25" customHeight="1">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row>
    <row r="901" ht="14.25" customHeight="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row>
    <row r="902" ht="14.25" customHeight="1">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row>
    <row r="903" ht="14.25" customHeight="1">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row>
    <row r="904" ht="14.25" customHeight="1">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row>
    <row r="905" ht="14.25" customHeight="1">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row>
    <row r="906" ht="14.25" customHeight="1">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row>
    <row r="907" ht="14.25" customHeight="1">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row>
    <row r="908" ht="14.25" customHeight="1">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row>
    <row r="909" ht="14.25" customHeight="1">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row>
    <row r="910" ht="14.25" customHeight="1">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row>
    <row r="911" ht="14.25" customHeight="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row>
    <row r="912" ht="14.25" customHeight="1">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row>
    <row r="913" ht="14.25" customHeight="1">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row>
    <row r="914" ht="14.25" customHeight="1">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row>
    <row r="915" ht="14.25" customHeight="1">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row>
    <row r="916" ht="14.25" customHeight="1">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row>
    <row r="917" ht="14.25" customHeight="1">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row>
    <row r="918" ht="14.25" customHeight="1">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row>
    <row r="919" ht="14.25" customHeight="1">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row>
    <row r="920" ht="14.25" customHeight="1">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row>
    <row r="921" ht="14.25" customHeight="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row>
    <row r="922" ht="14.25" customHeight="1">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row>
    <row r="923" ht="14.25" customHeight="1">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row>
    <row r="924" ht="14.25" customHeight="1">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row>
    <row r="925" ht="14.25" customHeight="1">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row>
    <row r="926" ht="14.25" customHeight="1">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row>
    <row r="927" ht="14.25" customHeight="1">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row>
    <row r="928" ht="14.25" customHeight="1">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row>
    <row r="929" ht="14.25" customHeight="1">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row>
    <row r="930" ht="14.25" customHeight="1">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row>
    <row r="931" ht="14.25" customHeight="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row>
    <row r="932" ht="14.25" customHeight="1">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row>
    <row r="933" ht="14.25" customHeight="1">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row>
    <row r="934" ht="14.25" customHeight="1">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row>
    <row r="935" ht="14.25" customHeight="1">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row>
    <row r="936" ht="14.25" customHeight="1">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row>
    <row r="937" ht="14.25" customHeight="1">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row>
    <row r="938" ht="14.25" customHeight="1">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row>
    <row r="939" ht="14.25" customHeight="1">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row>
    <row r="940" ht="14.25" customHeight="1">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row>
    <row r="941" ht="14.25" customHeight="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row>
    <row r="942" ht="14.25" customHeight="1">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row>
    <row r="943" ht="14.25" customHeight="1">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row>
    <row r="944" ht="14.25" customHeight="1">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row>
    <row r="945" ht="14.25" customHeight="1">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row>
    <row r="946" ht="14.25" customHeight="1">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row>
    <row r="947" ht="14.25" customHeight="1">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row>
    <row r="948" ht="14.25" customHeight="1">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row>
    <row r="949" ht="14.25" customHeight="1">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row>
    <row r="950" ht="14.25" customHeight="1">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row>
    <row r="951" ht="14.25" customHeight="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row>
    <row r="952" ht="14.25" customHeight="1">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row>
    <row r="953" ht="14.25" customHeight="1">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row>
    <row r="954" ht="14.25" customHeight="1">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row>
    <row r="955" ht="14.25" customHeight="1">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row>
    <row r="956" ht="14.25" customHeight="1">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row>
    <row r="957" ht="14.25" customHeight="1">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row>
    <row r="958" ht="14.25" customHeight="1">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row>
    <row r="959" ht="14.25" customHeight="1">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row>
    <row r="960" ht="14.25" customHeight="1">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row>
    <row r="961" ht="14.25" customHeight="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row>
    <row r="962" ht="14.25" customHeight="1">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row>
    <row r="963" ht="14.25" customHeight="1">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row>
    <row r="964" ht="14.25" customHeight="1">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row>
    <row r="965" ht="14.25" customHeight="1">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row>
    <row r="966" ht="14.25" customHeight="1">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row>
    <row r="967" ht="14.25" customHeight="1">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row>
    <row r="968" ht="14.25" customHeight="1">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row>
    <row r="969" ht="14.25" customHeight="1">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row>
    <row r="970" ht="14.25" customHeight="1">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row>
    <row r="971" ht="14.25" customHeight="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row>
    <row r="972" ht="14.25" customHeight="1">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row>
    <row r="973" ht="14.25" customHeight="1">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row>
    <row r="974" ht="14.25" customHeight="1">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row>
    <row r="975" ht="14.25" customHeight="1">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row>
    <row r="976" ht="14.25" customHeight="1">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row>
    <row r="977" ht="14.25" customHeight="1">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row>
    <row r="978" ht="14.25" customHeight="1">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row>
    <row r="979" ht="14.25" customHeight="1">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row>
    <row r="980" ht="14.25" customHeight="1">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row>
    <row r="981" ht="14.25" customHeight="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row>
    <row r="982" ht="14.25" customHeight="1">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row>
    <row r="983" ht="14.25" customHeight="1">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row>
    <row r="984" ht="14.25" customHeight="1">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row>
    <row r="985" ht="14.25" customHeight="1">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row>
    <row r="986" ht="14.25" customHeight="1">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row>
    <row r="987" ht="14.25" customHeight="1">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row>
    <row r="988" ht="14.25" customHeight="1">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row>
    <row r="989" ht="14.25" customHeight="1">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row>
    <row r="990" ht="14.25" customHeight="1">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row>
    <row r="991" ht="14.25" customHeight="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row>
    <row r="992" ht="14.25" customHeight="1">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row>
    <row r="993" ht="14.25" customHeight="1">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row>
    <row r="994" ht="14.25" customHeight="1">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row>
    <row r="995" ht="14.25" customHeight="1">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row>
    <row r="996" ht="14.25" customHeight="1">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row>
    <row r="997" ht="14.25" customHeight="1">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row>
    <row r="998" ht="14.25" customHeight="1">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row>
    <row r="999" ht="14.25" customHeight="1">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row>
    <row r="1000" ht="14.25" customHeight="1">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row>
  </sheetData>
  <mergeCells count="2">
    <mergeCell ref="A1:M1"/>
    <mergeCell ref="A2:M2"/>
  </mergeCells>
  <conditionalFormatting sqref="E5:E1000">
    <cfRule type="cellIs" dxfId="2" priority="1" operator="equal">
      <formula>"Critical"</formula>
    </cfRule>
  </conditionalFormatting>
  <conditionalFormatting sqref="E5:E1000">
    <cfRule type="cellIs" dxfId="2" priority="2" operator="equal">
      <formula>"High"</formula>
    </cfRule>
  </conditionalFormatting>
  <conditionalFormatting sqref="E5:E1000">
    <cfRule type="cellIs" dxfId="1" priority="3" operator="equal">
      <formula>"Medium"</formula>
    </cfRule>
  </conditionalFormatting>
  <conditionalFormatting sqref="E5:E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"Open,In Progress,Closed,Deferred,Cancelled"</formula1>
    </dataValidation>
    <dataValidation type="list" allowBlank="1" sqref="D5:D200">
      <formula1>"Technical,Process,Resource,Scope,External,Other"</formula1>
    </dataValidation>
    <dataValidation type="list" allowBlank="1" sqref="E5:E200">
      <formula1>"Critical,High,Medium,Low"</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43C0C"/>
    <pageSetUpPr/>
  </sheetPr>
  <sheetViews>
    <sheetView showGridLines="0" workbookViewId="0">
      <pane ySplit="3.0" topLeftCell="A4" activePane="bottomLeft" state="frozen"/>
      <selection activeCell="B5" sqref="B5" pane="bottomLeft"/>
    </sheetView>
  </sheetViews>
  <sheetFormatPr customHeight="1" defaultColWidth="14.43" defaultRowHeight="15.0" outlineLevelCol="1"/>
  <cols>
    <col customWidth="1" min="1" max="1" width="6.0"/>
    <col customWidth="1" min="2" max="2" width="36.0"/>
    <col customWidth="1" min="3" max="3" width="16.0"/>
    <col customWidth="1" min="4" max="4" width="13.0"/>
    <col customWidth="1" min="5" max="5" width="10.0"/>
    <col customWidth="1" min="6" max="6" width="14.0"/>
    <col customWidth="1" min="7" max="7" width="34.0"/>
    <col customWidth="1" min="8" max="8" width="30.0"/>
    <col customWidth="1" min="9" max="9" width="14.0"/>
    <col customWidth="1" min="10" max="10" width="12.0"/>
    <col customWidth="1" min="11" max="11" width="14.0"/>
    <col customWidth="1" min="12" max="12" width="20.0"/>
    <col customWidth="1" min="13" max="26" width="8.71"/>
  </cols>
  <sheetData>
    <row r="1" ht="14.25" customHeight="1">
      <c r="A1" s="4" t="s">
        <v>724</v>
      </c>
      <c r="M1" s="1"/>
      <c r="N1" s="1"/>
      <c r="O1" s="1"/>
      <c r="P1" s="1"/>
      <c r="Q1" s="1"/>
      <c r="R1" s="1"/>
      <c r="S1" s="1"/>
      <c r="T1" s="1"/>
      <c r="U1" s="1"/>
      <c r="V1" s="1"/>
      <c r="W1" s="1"/>
      <c r="X1" s="1"/>
      <c r="Y1" s="1"/>
      <c r="Z1" s="1"/>
    </row>
    <row r="2" ht="14.25" customHeight="1">
      <c r="A2" s="10" t="s">
        <v>725</v>
      </c>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2"/>
      <c r="B4" s="2"/>
      <c r="C4" s="2"/>
      <c r="D4" s="2"/>
      <c r="E4" s="2"/>
      <c r="F4" s="2"/>
      <c r="G4" s="2"/>
      <c r="H4" s="2"/>
      <c r="I4" s="2"/>
      <c r="J4" s="2"/>
      <c r="K4" s="2"/>
      <c r="L4" s="2"/>
      <c r="M4" s="1"/>
      <c r="N4" s="1"/>
      <c r="O4" s="1"/>
      <c r="P4" s="1"/>
      <c r="Q4" s="1"/>
      <c r="R4" s="1"/>
      <c r="S4" s="1"/>
      <c r="T4" s="1"/>
      <c r="U4" s="1"/>
      <c r="V4" s="1"/>
      <c r="W4" s="1"/>
      <c r="X4" s="1"/>
      <c r="Y4" s="1"/>
      <c r="Z4" s="1"/>
    </row>
    <row r="5" ht="14.25" customHeight="1">
      <c r="A5" s="147" t="s">
        <v>7</v>
      </c>
      <c r="B5" s="147" t="s">
        <v>726</v>
      </c>
      <c r="C5" s="147" t="s">
        <v>660</v>
      </c>
      <c r="D5" s="147" t="s">
        <v>727</v>
      </c>
      <c r="E5" s="147" t="s">
        <v>728</v>
      </c>
      <c r="F5" s="147" t="s">
        <v>729</v>
      </c>
      <c r="G5" s="147" t="s">
        <v>730</v>
      </c>
      <c r="H5" s="147" t="s">
        <v>731</v>
      </c>
      <c r="I5" s="147" t="s">
        <v>662</v>
      </c>
      <c r="J5" s="147" t="s">
        <v>23</v>
      </c>
      <c r="K5" s="147" t="s">
        <v>16</v>
      </c>
      <c r="L5" s="147" t="s">
        <v>24</v>
      </c>
      <c r="M5" s="1"/>
      <c r="N5" s="1"/>
      <c r="O5" s="1"/>
      <c r="P5" s="1"/>
      <c r="Q5" s="1"/>
      <c r="R5" s="1"/>
      <c r="S5" s="1"/>
      <c r="T5" s="1"/>
      <c r="U5" s="1"/>
      <c r="V5" s="1"/>
      <c r="W5" s="1"/>
      <c r="X5" s="1"/>
      <c r="Y5" s="1"/>
      <c r="Z5" s="1"/>
    </row>
    <row r="6" ht="14.25" customHeight="1">
      <c r="A6" s="148" t="s">
        <v>732</v>
      </c>
      <c r="B6" s="94" t="s">
        <v>733</v>
      </c>
      <c r="C6" s="94" t="s">
        <v>668</v>
      </c>
      <c r="D6" s="99" t="s">
        <v>43</v>
      </c>
      <c r="E6" s="99" t="s">
        <v>369</v>
      </c>
      <c r="F6" s="91">
        <v>6.0</v>
      </c>
      <c r="G6" s="94" t="s">
        <v>734</v>
      </c>
      <c r="H6" s="94" t="s">
        <v>735</v>
      </c>
      <c r="I6" s="94" t="s">
        <v>385</v>
      </c>
      <c r="J6" s="92" t="s">
        <v>176</v>
      </c>
      <c r="K6" s="92" t="s">
        <v>47</v>
      </c>
      <c r="L6" s="95"/>
      <c r="M6" s="1"/>
      <c r="N6" s="1"/>
      <c r="O6" s="1"/>
      <c r="P6" s="1"/>
      <c r="Q6" s="1"/>
      <c r="R6" s="1"/>
      <c r="S6" s="1"/>
      <c r="T6" s="1"/>
      <c r="U6" s="1"/>
      <c r="V6" s="1"/>
      <c r="W6" s="1"/>
      <c r="X6" s="1"/>
      <c r="Y6" s="1"/>
      <c r="Z6" s="1"/>
    </row>
    <row r="7" ht="14.25" customHeight="1">
      <c r="A7" s="148" t="s">
        <v>736</v>
      </c>
      <c r="B7" s="97" t="s">
        <v>737</v>
      </c>
      <c r="C7" s="97" t="s">
        <v>738</v>
      </c>
      <c r="D7" s="99" t="s">
        <v>703</v>
      </c>
      <c r="E7" s="99" t="s">
        <v>369</v>
      </c>
      <c r="F7" s="149">
        <v>3.0</v>
      </c>
      <c r="G7" s="97" t="s">
        <v>739</v>
      </c>
      <c r="H7" s="97" t="s">
        <v>740</v>
      </c>
      <c r="I7" s="97" t="s">
        <v>741</v>
      </c>
      <c r="J7" s="50"/>
      <c r="K7" s="92" t="s">
        <v>47</v>
      </c>
      <c r="L7" s="50"/>
      <c r="M7" s="1"/>
      <c r="N7" s="1"/>
      <c r="O7" s="1"/>
      <c r="P7" s="1"/>
      <c r="Q7" s="1"/>
      <c r="R7" s="1"/>
      <c r="S7" s="1"/>
      <c r="T7" s="1"/>
      <c r="U7" s="1"/>
      <c r="V7" s="1"/>
      <c r="W7" s="1"/>
      <c r="X7" s="1"/>
      <c r="Y7" s="1"/>
      <c r="Z7" s="1"/>
    </row>
    <row r="8" ht="14.25" customHeight="1">
      <c r="A8" s="148" t="s">
        <v>742</v>
      </c>
      <c r="B8" s="94" t="s">
        <v>743</v>
      </c>
      <c r="C8" s="94" t="s">
        <v>744</v>
      </c>
      <c r="D8" s="99" t="s">
        <v>43</v>
      </c>
      <c r="E8" s="99" t="s">
        <v>43</v>
      </c>
      <c r="F8" s="149">
        <v>4.0</v>
      </c>
      <c r="G8" s="94" t="s">
        <v>745</v>
      </c>
      <c r="H8" s="94" t="s">
        <v>746</v>
      </c>
      <c r="I8" s="94" t="s">
        <v>741</v>
      </c>
      <c r="J8" s="95"/>
      <c r="K8" s="92" t="s">
        <v>47</v>
      </c>
      <c r="L8" s="95"/>
      <c r="M8" s="1"/>
      <c r="N8" s="1"/>
      <c r="O8" s="1"/>
      <c r="P8" s="1"/>
      <c r="Q8" s="1"/>
      <c r="R8" s="1"/>
      <c r="S8" s="1"/>
      <c r="T8" s="1"/>
      <c r="U8" s="1"/>
      <c r="V8" s="1"/>
      <c r="W8" s="1"/>
      <c r="X8" s="1"/>
      <c r="Y8" s="1"/>
      <c r="Z8" s="1"/>
    </row>
    <row r="9" ht="14.25" customHeight="1">
      <c r="A9" s="148" t="s">
        <v>747</v>
      </c>
      <c r="B9" s="97" t="s">
        <v>748</v>
      </c>
      <c r="C9" s="97" t="s">
        <v>668</v>
      </c>
      <c r="D9" s="99" t="s">
        <v>369</v>
      </c>
      <c r="E9" s="99" t="s">
        <v>369</v>
      </c>
      <c r="F9" s="149">
        <v>9.0</v>
      </c>
      <c r="G9" s="97" t="s">
        <v>749</v>
      </c>
      <c r="H9" s="97" t="s">
        <v>750</v>
      </c>
      <c r="I9" s="97" t="s">
        <v>385</v>
      </c>
      <c r="J9" s="96" t="s">
        <v>140</v>
      </c>
      <c r="K9" s="92" t="s">
        <v>47</v>
      </c>
      <c r="L9" s="50"/>
      <c r="M9" s="1"/>
      <c r="N9" s="1"/>
      <c r="O9" s="1"/>
      <c r="P9" s="1"/>
      <c r="Q9" s="1"/>
      <c r="R9" s="1"/>
      <c r="S9" s="1"/>
      <c r="T9" s="1"/>
      <c r="U9" s="1"/>
      <c r="V9" s="1"/>
      <c r="W9" s="1"/>
      <c r="X9" s="1"/>
      <c r="Y9" s="1"/>
      <c r="Z9" s="1"/>
    </row>
    <row r="10" ht="14.25" customHeight="1">
      <c r="A10" s="148" t="s">
        <v>751</v>
      </c>
      <c r="B10" s="94" t="s">
        <v>752</v>
      </c>
      <c r="C10" s="94" t="s">
        <v>668</v>
      </c>
      <c r="D10" s="99" t="s">
        <v>43</v>
      </c>
      <c r="E10" s="99" t="s">
        <v>43</v>
      </c>
      <c r="F10" s="150">
        <v>4.0</v>
      </c>
      <c r="G10" s="94" t="s">
        <v>753</v>
      </c>
      <c r="H10" s="94" t="s">
        <v>754</v>
      </c>
      <c r="I10" s="94" t="s">
        <v>385</v>
      </c>
      <c r="J10" s="92" t="s">
        <v>122</v>
      </c>
      <c r="K10" s="98" t="s">
        <v>413</v>
      </c>
      <c r="L10" s="95" t="s">
        <v>755</v>
      </c>
      <c r="M10" s="1"/>
      <c r="N10" s="1"/>
      <c r="O10" s="1"/>
      <c r="P10" s="1"/>
      <c r="Q10" s="1"/>
      <c r="R10" s="1"/>
      <c r="S10" s="1"/>
      <c r="T10" s="1"/>
      <c r="U10" s="1"/>
      <c r="V10" s="1"/>
      <c r="W10" s="1"/>
      <c r="X10" s="1"/>
      <c r="Y10" s="1"/>
      <c r="Z10" s="1"/>
    </row>
    <row r="11" ht="14.25" customHeight="1">
      <c r="A11" s="148" t="s">
        <v>756</v>
      </c>
      <c r="B11" s="97" t="s">
        <v>757</v>
      </c>
      <c r="C11" s="97" t="s">
        <v>758</v>
      </c>
      <c r="D11" s="99" t="s">
        <v>43</v>
      </c>
      <c r="E11" s="99" t="s">
        <v>369</v>
      </c>
      <c r="F11" s="91">
        <v>6.0</v>
      </c>
      <c r="G11" s="97" t="s">
        <v>759</v>
      </c>
      <c r="H11" s="97" t="s">
        <v>760</v>
      </c>
      <c r="I11" s="97" t="s">
        <v>741</v>
      </c>
      <c r="J11" s="96" t="s">
        <v>187</v>
      </c>
      <c r="K11" s="92" t="s">
        <v>47</v>
      </c>
      <c r="L11" s="50"/>
      <c r="M11" s="1"/>
      <c r="N11" s="1"/>
      <c r="O11" s="1"/>
      <c r="P11" s="1"/>
      <c r="Q11" s="1"/>
      <c r="R11" s="1"/>
      <c r="S11" s="1"/>
      <c r="T11" s="1"/>
      <c r="U11" s="1"/>
      <c r="V11" s="1"/>
      <c r="W11" s="1"/>
      <c r="X11" s="1"/>
      <c r="Y11" s="1"/>
      <c r="Z11" s="1"/>
    </row>
    <row r="12" ht="14.25" customHeight="1">
      <c r="A12" s="148" t="s">
        <v>761</v>
      </c>
      <c r="B12" s="97" t="s">
        <v>762</v>
      </c>
      <c r="C12" s="97" t="s">
        <v>668</v>
      </c>
      <c r="D12" s="99" t="s">
        <v>703</v>
      </c>
      <c r="E12" s="99" t="s">
        <v>369</v>
      </c>
      <c r="F12" s="91">
        <v>6.0</v>
      </c>
      <c r="G12" s="97" t="s">
        <v>763</v>
      </c>
      <c r="H12" s="97" t="s">
        <v>764</v>
      </c>
      <c r="I12" s="97" t="s">
        <v>385</v>
      </c>
      <c r="J12" s="50"/>
      <c r="K12" s="92" t="s">
        <v>47</v>
      </c>
      <c r="L12" s="97" t="s">
        <v>765</v>
      </c>
      <c r="M12" s="1"/>
      <c r="N12" s="1"/>
      <c r="O12" s="1"/>
      <c r="P12" s="1"/>
      <c r="Q12" s="1"/>
      <c r="R12" s="1"/>
      <c r="S12" s="1"/>
      <c r="T12" s="1"/>
      <c r="U12" s="1"/>
      <c r="V12" s="1"/>
      <c r="W12" s="1"/>
      <c r="X12" s="1"/>
      <c r="Y12" s="1"/>
      <c r="Z12" s="1"/>
    </row>
    <row r="13" ht="14.25" customHeight="1">
      <c r="A13" s="148" t="s">
        <v>766</v>
      </c>
      <c r="B13" s="97" t="s">
        <v>767</v>
      </c>
      <c r="C13" s="97" t="s">
        <v>668</v>
      </c>
      <c r="D13" s="99" t="s">
        <v>43</v>
      </c>
      <c r="E13" s="99" t="s">
        <v>369</v>
      </c>
      <c r="F13" s="91">
        <v>6.0</v>
      </c>
      <c r="G13" s="97" t="s">
        <v>768</v>
      </c>
      <c r="H13" s="97" t="s">
        <v>769</v>
      </c>
      <c r="I13" s="97" t="s">
        <v>385</v>
      </c>
      <c r="J13" s="50"/>
      <c r="K13" s="92" t="s">
        <v>47</v>
      </c>
      <c r="L13" s="97" t="s">
        <v>770</v>
      </c>
      <c r="M13" s="1"/>
      <c r="N13" s="1"/>
      <c r="O13" s="1"/>
      <c r="P13" s="1"/>
      <c r="Q13" s="1"/>
      <c r="R13" s="1"/>
      <c r="S13" s="1"/>
      <c r="T13" s="1"/>
      <c r="U13" s="1"/>
      <c r="V13" s="1"/>
      <c r="W13" s="1"/>
      <c r="X13" s="1"/>
      <c r="Y13" s="1"/>
      <c r="Z13" s="1"/>
    </row>
    <row r="14" ht="14.25" customHeight="1">
      <c r="A14" s="148" t="s">
        <v>771</v>
      </c>
      <c r="B14" s="94" t="s">
        <v>772</v>
      </c>
      <c r="C14" s="94" t="s">
        <v>668</v>
      </c>
      <c r="D14" s="99" t="s">
        <v>703</v>
      </c>
      <c r="E14" s="99" t="s">
        <v>369</v>
      </c>
      <c r="F14" s="91">
        <v>3.0</v>
      </c>
      <c r="G14" s="94" t="s">
        <v>773</v>
      </c>
      <c r="H14" s="94" t="s">
        <v>774</v>
      </c>
      <c r="I14" s="94" t="s">
        <v>385</v>
      </c>
      <c r="J14" s="95"/>
      <c r="K14" s="92" t="s">
        <v>47</v>
      </c>
      <c r="L14" s="94" t="s">
        <v>775</v>
      </c>
      <c r="M14" s="1"/>
      <c r="N14" s="1"/>
      <c r="O14" s="1"/>
      <c r="P14" s="1"/>
      <c r="Q14" s="1"/>
      <c r="R14" s="1"/>
      <c r="S14" s="1"/>
      <c r="T14" s="1"/>
      <c r="U14" s="1"/>
      <c r="V14" s="1"/>
      <c r="W14" s="1"/>
      <c r="X14" s="1"/>
      <c r="Y14" s="1"/>
      <c r="Z14" s="1"/>
    </row>
    <row r="15" ht="14.25" customHeight="1">
      <c r="A15" s="148" t="s">
        <v>776</v>
      </c>
      <c r="B15" s="94" t="s">
        <v>777</v>
      </c>
      <c r="C15" s="94" t="s">
        <v>668</v>
      </c>
      <c r="D15" s="99" t="s">
        <v>43</v>
      </c>
      <c r="E15" s="99" t="s">
        <v>43</v>
      </c>
      <c r="F15" s="91" t="s">
        <v>778</v>
      </c>
      <c r="G15" s="94" t="s">
        <v>779</v>
      </c>
      <c r="H15" s="94" t="s">
        <v>780</v>
      </c>
      <c r="I15" s="94" t="s">
        <v>76</v>
      </c>
      <c r="J15" s="50"/>
      <c r="K15" s="92" t="s">
        <v>47</v>
      </c>
      <c r="L15" s="94" t="s">
        <v>781</v>
      </c>
      <c r="M15" s="1"/>
      <c r="N15" s="1"/>
      <c r="O15" s="1"/>
      <c r="P15" s="1"/>
      <c r="Q15" s="1"/>
      <c r="R15" s="1"/>
      <c r="S15" s="1"/>
      <c r="T15" s="1"/>
      <c r="U15" s="1"/>
      <c r="V15" s="1"/>
      <c r="W15" s="1"/>
      <c r="X15" s="1"/>
      <c r="Y15" s="1"/>
      <c r="Z15" s="1"/>
    </row>
    <row r="16" ht="14.25" customHeight="1">
      <c r="A16" s="148" t="s">
        <v>782</v>
      </c>
      <c r="B16" s="95"/>
      <c r="C16" s="95"/>
      <c r="D16" s="99" t="s">
        <v>43</v>
      </c>
      <c r="E16" s="99" t="s">
        <v>43</v>
      </c>
      <c r="F16" s="151"/>
      <c r="G16" s="95"/>
      <c r="H16" s="95"/>
      <c r="I16" s="95"/>
      <c r="J16" s="95"/>
      <c r="K16" s="92" t="s">
        <v>47</v>
      </c>
      <c r="L16" s="95"/>
      <c r="M16" s="1"/>
      <c r="N16" s="1"/>
      <c r="O16" s="1"/>
      <c r="P16" s="1"/>
      <c r="Q16" s="1"/>
      <c r="R16" s="1"/>
      <c r="S16" s="1"/>
      <c r="T16" s="1"/>
      <c r="U16" s="1"/>
      <c r="V16" s="1"/>
      <c r="W16" s="1"/>
      <c r="X16" s="1"/>
      <c r="Y16" s="1"/>
      <c r="Z16" s="1"/>
    </row>
    <row r="17" ht="14.25" customHeight="1">
      <c r="A17" s="148" t="s">
        <v>783</v>
      </c>
      <c r="B17" s="50"/>
      <c r="C17" s="50"/>
      <c r="D17" s="99" t="s">
        <v>43</v>
      </c>
      <c r="E17" s="99" t="s">
        <v>43</v>
      </c>
      <c r="F17" s="151"/>
      <c r="G17" s="50"/>
      <c r="H17" s="50"/>
      <c r="I17" s="50"/>
      <c r="J17" s="50"/>
      <c r="K17" s="92" t="s">
        <v>47</v>
      </c>
      <c r="L17" s="50"/>
      <c r="M17" s="1"/>
      <c r="N17" s="1"/>
      <c r="O17" s="1"/>
      <c r="P17" s="1"/>
      <c r="Q17" s="1"/>
      <c r="R17" s="1"/>
      <c r="S17" s="1"/>
      <c r="T17" s="1"/>
      <c r="U17" s="1"/>
      <c r="V17" s="1"/>
      <c r="W17" s="1"/>
      <c r="X17" s="1"/>
      <c r="Y17" s="1"/>
      <c r="Z17" s="1"/>
    </row>
    <row r="18" ht="14.25" customHeight="1">
      <c r="A18" s="152" t="s">
        <v>784</v>
      </c>
      <c r="B18" s="153"/>
      <c r="C18" s="153"/>
      <c r="D18" s="154" t="s">
        <v>43</v>
      </c>
      <c r="E18" s="154" t="s">
        <v>43</v>
      </c>
      <c r="F18" s="155"/>
      <c r="G18" s="153"/>
      <c r="H18" s="153"/>
      <c r="I18" s="153"/>
      <c r="J18" s="153"/>
      <c r="K18" s="156" t="s">
        <v>47</v>
      </c>
      <c r="L18" s="153"/>
      <c r="M18" s="1"/>
      <c r="N18" s="1"/>
      <c r="O18" s="1"/>
      <c r="P18" s="1"/>
      <c r="Q18" s="1"/>
      <c r="R18" s="1"/>
      <c r="S18" s="1"/>
      <c r="T18" s="1"/>
      <c r="U18" s="1"/>
      <c r="V18" s="1"/>
      <c r="W18" s="1"/>
      <c r="X18" s="1"/>
      <c r="Y18" s="1"/>
      <c r="Z18" s="1"/>
    </row>
    <row r="19" ht="14.25" customHeight="1">
      <c r="A19" s="152" t="s">
        <v>785</v>
      </c>
      <c r="B19" s="157"/>
      <c r="C19" s="157"/>
      <c r="D19" s="154" t="s">
        <v>43</v>
      </c>
      <c r="E19" s="154" t="s">
        <v>43</v>
      </c>
      <c r="F19" s="155"/>
      <c r="G19" s="157"/>
      <c r="H19" s="157"/>
      <c r="I19" s="157"/>
      <c r="J19" s="157"/>
      <c r="K19" s="156" t="s">
        <v>47</v>
      </c>
      <c r="L19" s="157"/>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row>
    <row r="203" ht="14.25" customHeight="1">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row>
    <row r="204" ht="14.25" customHeight="1">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row>
    <row r="205" ht="14.25" customHeight="1">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row>
    <row r="206" ht="14.25" customHeight="1">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row>
    <row r="207" ht="14.25" customHeight="1">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row>
    <row r="208" ht="14.25" customHeight="1">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row>
    <row r="209" ht="14.25" customHeight="1">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row>
    <row r="210" ht="14.25" customHeight="1">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row>
    <row r="211" ht="14.25" customHeight="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row>
    <row r="212" ht="14.25" customHeight="1">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row>
    <row r="213" ht="14.25" customHeight="1">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row>
    <row r="214" ht="14.25" customHeight="1">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row>
    <row r="215" ht="14.25" customHeight="1">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row>
    <row r="216" ht="14.25" customHeight="1">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row>
    <row r="217" ht="14.25" customHeight="1">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row>
    <row r="218" ht="14.25" customHeight="1">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row>
    <row r="219" ht="14.25" customHeight="1">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row>
    <row r="220" ht="14.25" customHeight="1">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row>
    <row r="221" ht="14.25" customHeight="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row>
    <row r="222" ht="14.25" customHeight="1">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row>
    <row r="223" ht="14.25" customHeight="1">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row>
    <row r="224" ht="14.25" customHeight="1">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row>
    <row r="225" ht="14.25" customHeight="1">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row>
    <row r="226" ht="14.25" customHeight="1">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row>
    <row r="227" ht="14.25" customHeight="1">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row>
    <row r="228" ht="14.25" customHeight="1">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row>
    <row r="229" ht="14.25" customHeight="1">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row>
    <row r="230" ht="14.25" customHeight="1">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row>
    <row r="231" ht="14.25" customHeight="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row>
    <row r="232" ht="14.25" customHeight="1">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row>
    <row r="233" ht="14.25" customHeight="1">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row>
    <row r="234" ht="14.25" customHeight="1">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row>
    <row r="235" ht="14.25" customHeight="1">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row>
    <row r="236" ht="14.25" customHeight="1">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row>
    <row r="237" ht="14.25" customHeight="1">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row>
    <row r="238" ht="14.25" customHeight="1">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row>
    <row r="239" ht="14.25" customHeight="1">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row>
    <row r="240" ht="14.25" customHeight="1">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row>
    <row r="241" ht="14.25" customHeight="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row>
    <row r="242" ht="14.25" customHeight="1">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row>
    <row r="243" ht="14.25" customHeight="1">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row>
    <row r="244" ht="14.25" customHeight="1">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row>
    <row r="245" ht="14.25" customHeight="1">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row>
    <row r="246" ht="14.25" customHeight="1">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row>
    <row r="247" ht="14.25" customHeight="1">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row>
    <row r="248" ht="14.25" customHeight="1">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row>
    <row r="249" ht="14.25" customHeight="1">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row>
    <row r="250" ht="14.25" customHeight="1">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row>
    <row r="251" ht="14.25" customHeight="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row>
    <row r="252" ht="14.25" customHeight="1">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row>
    <row r="253" ht="14.25" customHeight="1">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row>
    <row r="254" ht="14.25" customHeight="1">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row>
    <row r="255" ht="14.25" customHeight="1">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row>
    <row r="256" ht="14.25" customHeight="1">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row>
    <row r="257" ht="14.25" customHeight="1">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row>
    <row r="258" ht="14.25" customHeight="1">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row>
    <row r="259" ht="14.25" customHeight="1">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row>
    <row r="260" ht="14.25" customHeight="1">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row>
    <row r="261" ht="14.25" customHeight="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row>
    <row r="262" ht="14.25" customHeight="1">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row>
    <row r="263" ht="14.25" customHeight="1">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row>
    <row r="264" ht="14.25" customHeight="1">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row>
    <row r="265" ht="14.25" customHeight="1">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row>
    <row r="266" ht="14.25" customHeight="1">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row>
    <row r="267" ht="14.25" customHeight="1">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row>
    <row r="268" ht="14.25" customHeight="1">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row>
    <row r="269" ht="14.25" customHeight="1">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row>
    <row r="270" ht="14.25" customHeight="1">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row>
    <row r="271" ht="14.25" customHeight="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row>
    <row r="272" ht="14.25" customHeight="1">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row>
    <row r="273" ht="14.25" customHeight="1">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row>
    <row r="274" ht="14.25" customHeight="1">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row>
    <row r="275" ht="14.25" customHeight="1">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row>
    <row r="276" ht="14.25" customHeight="1">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row>
    <row r="277" ht="14.25" customHeight="1">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row>
    <row r="278" ht="14.25" customHeight="1">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row>
    <row r="279" ht="14.25" customHeight="1">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row>
    <row r="280" ht="14.25" customHeight="1">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row>
    <row r="281" ht="14.25" customHeight="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row>
    <row r="282" ht="14.25" customHeight="1">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row>
    <row r="283" ht="14.25" customHeight="1">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row>
    <row r="284" ht="14.25" customHeight="1">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row>
    <row r="285" ht="14.25" customHeight="1">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row>
    <row r="286" ht="14.25" customHeight="1">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row>
    <row r="287" ht="14.25" customHeight="1">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row>
    <row r="288" ht="14.25" customHeight="1">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row>
    <row r="289" ht="14.25" customHeight="1">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row>
    <row r="290" ht="14.25" customHeight="1">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row>
    <row r="291" ht="14.25" customHeight="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row>
    <row r="292" ht="14.25" customHeight="1">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row>
    <row r="293" ht="14.25" customHeight="1">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row>
    <row r="294" ht="14.25" customHeight="1">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row>
    <row r="295" ht="14.25" customHeight="1">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row>
    <row r="296" ht="14.25" customHeight="1">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row>
    <row r="297" ht="14.25" customHeight="1">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row>
    <row r="298" ht="14.25" customHeight="1">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row>
    <row r="299" ht="14.25" customHeight="1">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row>
    <row r="300" ht="14.25" customHeight="1">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row>
    <row r="301" ht="14.25" customHeight="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row>
    <row r="302" ht="14.25" customHeight="1">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row>
    <row r="303" ht="14.25" customHeight="1">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row>
    <row r="304" ht="14.25" customHeight="1">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row>
    <row r="305" ht="14.25" customHeight="1">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row>
    <row r="306" ht="14.25" customHeight="1">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row>
    <row r="307" ht="14.25" customHeight="1">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row>
    <row r="308" ht="14.25" customHeight="1">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row>
    <row r="309" ht="14.25" customHeight="1">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row>
    <row r="310" ht="14.25" customHeight="1">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row>
    <row r="311" ht="14.25" customHeight="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row>
    <row r="312" ht="14.25" customHeight="1">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row>
    <row r="313" ht="14.25" customHeight="1">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row>
    <row r="314" ht="14.25" customHeight="1">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row>
    <row r="315" ht="14.25" customHeight="1">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row>
    <row r="316" ht="14.25" customHeight="1">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row>
    <row r="317" ht="14.25" customHeight="1">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row>
    <row r="318" ht="14.25" customHeight="1">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row>
    <row r="319" ht="14.25" customHeight="1">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row>
    <row r="320" ht="14.25" customHeight="1">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row>
    <row r="321" ht="14.25" customHeight="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row>
    <row r="322" ht="14.25" customHeight="1">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row>
    <row r="323" ht="14.25" customHeight="1">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row>
    <row r="324" ht="14.25" customHeight="1">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row>
    <row r="325" ht="14.25" customHeight="1">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row>
    <row r="326" ht="14.25" customHeight="1">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row>
    <row r="327" ht="14.25" customHeight="1">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row>
    <row r="328" ht="14.25" customHeight="1">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row>
    <row r="329" ht="14.25" customHeight="1">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row>
    <row r="330" ht="14.25" customHeight="1">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row>
    <row r="331" ht="14.25" customHeight="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row>
    <row r="332" ht="14.25" customHeight="1">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row>
    <row r="333" ht="14.25" customHeight="1">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row>
    <row r="334" ht="14.25" customHeight="1">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row>
    <row r="335" ht="14.25" customHeight="1">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row>
    <row r="336" ht="14.25" customHeight="1">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row>
    <row r="337" ht="14.25" customHeight="1">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row>
    <row r="338" ht="14.25" customHeight="1">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row>
    <row r="339" ht="14.25" customHeight="1">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row>
    <row r="340" ht="14.25" customHeight="1">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row>
    <row r="341" ht="14.25" customHeight="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row>
    <row r="342" ht="14.25" customHeight="1">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row>
    <row r="343" ht="14.25" customHeight="1">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row>
    <row r="344" ht="14.25" customHeight="1">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row>
    <row r="345" ht="14.25" customHeight="1">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row>
    <row r="346" ht="14.25" customHeight="1">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row>
    <row r="347" ht="14.25" customHeight="1">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row>
    <row r="348" ht="14.25" customHeight="1">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row>
    <row r="349" ht="14.25" customHeight="1">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row>
    <row r="350" ht="14.25" customHeight="1">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row>
    <row r="351" ht="14.25" customHeight="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row>
    <row r="352" ht="14.25" customHeight="1">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row>
    <row r="353" ht="14.25" customHeight="1">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row>
    <row r="354" ht="14.25" customHeight="1">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row>
    <row r="355" ht="14.25" customHeight="1">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row>
    <row r="356" ht="14.25" customHeight="1">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row>
    <row r="357" ht="14.25" customHeight="1">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row>
    <row r="358" ht="14.25" customHeight="1">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row>
    <row r="359" ht="14.25" customHeight="1">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row>
    <row r="360" ht="14.25" customHeight="1">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row>
    <row r="361" ht="14.25" customHeight="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row>
    <row r="362" ht="14.25" customHeight="1">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row>
    <row r="363" ht="14.25" customHeight="1">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row>
    <row r="364" ht="14.25" customHeight="1">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row>
    <row r="365" ht="14.25" customHeight="1">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row>
    <row r="366" ht="14.25" customHeight="1">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row>
    <row r="367" ht="14.25" customHeight="1">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row>
    <row r="368" ht="14.25" customHeight="1">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row>
    <row r="369" ht="14.25" customHeight="1">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row>
    <row r="370" ht="14.25" customHeight="1">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row>
    <row r="371" ht="14.25" customHeight="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row>
    <row r="372" ht="14.25" customHeight="1">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row>
    <row r="373" ht="14.25" customHeight="1">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row>
    <row r="374" ht="14.25" customHeight="1">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row>
    <row r="375" ht="14.25" customHeight="1">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row>
    <row r="376" ht="14.25" customHeight="1">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row>
    <row r="377" ht="14.25" customHeight="1">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row>
    <row r="378" ht="14.25" customHeight="1">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row>
    <row r="379" ht="14.25" customHeight="1">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row>
    <row r="380" ht="14.25" customHeight="1">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row>
    <row r="381" ht="14.25" customHeight="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row>
    <row r="382" ht="14.25" customHeight="1">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row>
    <row r="383" ht="14.25" customHeight="1">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row>
    <row r="384" ht="14.25" customHeight="1">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row>
    <row r="385" ht="14.25" customHeight="1">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row>
    <row r="386" ht="14.25" customHeight="1">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row>
    <row r="387" ht="14.25" customHeight="1">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row>
    <row r="388" ht="14.25" customHeight="1">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row>
    <row r="389" ht="14.25" customHeight="1">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row>
    <row r="390" ht="14.25" customHeight="1">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row>
    <row r="391" ht="14.25" customHeight="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row>
    <row r="392" ht="14.25" customHeight="1">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row>
    <row r="393" ht="14.25" customHeight="1">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row>
    <row r="394" ht="14.25" customHeight="1">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row>
    <row r="395" ht="14.25" customHeight="1">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row>
    <row r="396" ht="14.25" customHeight="1">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row>
    <row r="397" ht="14.25" customHeight="1">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row>
    <row r="398" ht="14.25" customHeight="1">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row>
    <row r="399" ht="14.25" customHeight="1">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row>
    <row r="400" ht="14.25" customHeight="1">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row>
    <row r="401" ht="14.25" customHeight="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row>
    <row r="402" ht="14.25" customHeight="1">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row>
    <row r="403" ht="14.25" customHeight="1">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row>
    <row r="404" ht="14.25" customHeight="1">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row>
    <row r="405" ht="14.25" customHeight="1">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row>
    <row r="406" ht="14.25" customHeight="1">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row>
    <row r="407" ht="14.25" customHeight="1">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row>
    <row r="408" ht="14.25" customHeight="1">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row>
    <row r="409" ht="14.25" customHeight="1">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row>
    <row r="410" ht="14.25" customHeight="1">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row>
    <row r="411" ht="14.25" customHeight="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row>
    <row r="412" ht="14.25" customHeight="1">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row>
    <row r="413" ht="14.25" customHeight="1">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row>
    <row r="414" ht="14.25" customHeight="1">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row>
    <row r="415" ht="14.25" customHeight="1">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row>
    <row r="416" ht="14.25" customHeight="1">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row>
    <row r="417" ht="14.25" customHeight="1">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row>
    <row r="418" ht="14.25" customHeight="1">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row>
    <row r="419" ht="14.25" customHeight="1">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row>
    <row r="420" ht="14.25" customHeight="1">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row>
    <row r="421" ht="14.25" customHeight="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row>
    <row r="422" ht="14.25" customHeight="1">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row>
    <row r="423" ht="14.25" customHeight="1">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row>
    <row r="424" ht="14.25" customHeight="1">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row>
    <row r="425" ht="14.25" customHeight="1">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row>
    <row r="426" ht="14.25" customHeight="1">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row>
    <row r="427" ht="14.25" customHeight="1">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row>
    <row r="428" ht="14.25" customHeight="1">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row>
    <row r="429" ht="14.25" customHeight="1">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row>
    <row r="430" ht="14.25" customHeight="1">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row>
    <row r="431" ht="14.25" customHeight="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row>
    <row r="432" ht="14.25" customHeight="1">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row>
    <row r="433" ht="14.25" customHeight="1">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row>
    <row r="434" ht="14.25" customHeight="1">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row>
    <row r="435" ht="14.25" customHeight="1">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row>
    <row r="436" ht="14.25" customHeight="1">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row>
    <row r="437" ht="14.25" customHeight="1">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row>
    <row r="438" ht="14.25" customHeight="1">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row>
    <row r="439" ht="14.25" customHeight="1">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row>
    <row r="440" ht="14.25" customHeight="1">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row>
    <row r="441" ht="14.25" customHeight="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row>
    <row r="442" ht="14.25" customHeight="1">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row>
    <row r="443" ht="14.25" customHeight="1">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row>
    <row r="444" ht="14.25" customHeight="1">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row>
    <row r="445" ht="14.25" customHeight="1">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row>
    <row r="446" ht="14.25" customHeight="1">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row>
    <row r="447" ht="14.25" customHeight="1">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row>
    <row r="448" ht="14.25" customHeight="1">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row>
    <row r="449" ht="14.25" customHeight="1">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row>
    <row r="450" ht="14.25" customHeight="1">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row>
    <row r="451" ht="14.25" customHeight="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row>
    <row r="452" ht="14.25" customHeight="1">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row>
    <row r="453" ht="14.25" customHeight="1">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row>
    <row r="454" ht="14.25" customHeight="1">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row>
    <row r="455" ht="14.25" customHeight="1">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row>
    <row r="456" ht="14.25" customHeight="1">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row>
    <row r="457" ht="14.25" customHeight="1">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row>
    <row r="458" ht="14.25" customHeight="1">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row>
    <row r="459" ht="14.25" customHeight="1">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row>
    <row r="460" ht="14.25" customHeight="1">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row>
    <row r="461" ht="14.25" customHeight="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row>
    <row r="462" ht="14.25" customHeight="1">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row>
    <row r="463" ht="14.25" customHeight="1">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row>
    <row r="464" ht="14.25" customHeight="1">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row>
    <row r="465" ht="14.25" customHeight="1">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row>
    <row r="466" ht="14.25" customHeight="1">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row>
    <row r="467" ht="14.25" customHeight="1">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row>
    <row r="468" ht="14.25" customHeight="1">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row>
    <row r="469" ht="14.25" customHeight="1">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row>
    <row r="470" ht="14.25" customHeight="1">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row>
    <row r="471" ht="14.25" customHeight="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row>
    <row r="472" ht="14.25" customHeight="1">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row>
    <row r="473" ht="14.25" customHeight="1">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row>
    <row r="474" ht="14.25" customHeight="1">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row>
    <row r="475" ht="14.25" customHeight="1">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row>
    <row r="476" ht="14.25" customHeight="1">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row>
    <row r="477" ht="14.25" customHeight="1">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row>
    <row r="478" ht="14.25" customHeight="1">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row>
    <row r="479" ht="14.25" customHeight="1">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row>
    <row r="480" ht="14.25" customHeight="1">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row>
    <row r="481" ht="14.25" customHeight="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row>
    <row r="482" ht="14.25" customHeight="1">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row>
    <row r="483" ht="14.25" customHeight="1">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row>
    <row r="484" ht="14.25" customHeight="1">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row>
    <row r="485" ht="14.25" customHeight="1">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row>
    <row r="486" ht="14.25" customHeight="1">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row>
    <row r="487" ht="14.25" customHeight="1">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row>
    <row r="488" ht="14.25" customHeight="1">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row>
    <row r="489" ht="14.25" customHeight="1">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row>
    <row r="490" ht="14.25" customHeight="1">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row>
    <row r="491" ht="14.25" customHeight="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row>
    <row r="492" ht="14.25" customHeight="1">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row>
    <row r="493" ht="14.25" customHeight="1">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row>
    <row r="494" ht="14.25" customHeight="1">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row>
    <row r="495" ht="14.25" customHeight="1">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row>
    <row r="496" ht="14.25" customHeight="1">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row>
    <row r="497" ht="14.25" customHeight="1">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row>
    <row r="498" ht="14.25" customHeight="1">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row>
    <row r="499" ht="14.25" customHeight="1">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row>
    <row r="500" ht="14.25" customHeight="1">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row>
    <row r="501" ht="14.25" customHeight="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row>
    <row r="502" ht="14.25" customHeight="1">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row>
    <row r="503" ht="14.25" customHeight="1">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row>
    <row r="504" ht="14.25" customHeight="1">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row>
    <row r="505" ht="14.25" customHeight="1">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row>
    <row r="506" ht="14.25" customHeight="1">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row>
    <row r="507" ht="14.25" customHeight="1">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row>
    <row r="508" ht="14.25" customHeight="1">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row>
    <row r="509" ht="14.25" customHeight="1">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row>
    <row r="510" ht="14.25" customHeight="1">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row>
    <row r="511" ht="14.25" customHeight="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row>
    <row r="512" ht="14.25" customHeight="1">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row>
    <row r="513" ht="14.25" customHeight="1">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row>
    <row r="514" ht="14.25" customHeight="1">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row>
    <row r="515" ht="14.25" customHeight="1">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row>
    <row r="516" ht="14.25" customHeight="1">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row>
    <row r="517" ht="14.25" customHeight="1">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row>
    <row r="518" ht="14.25" customHeight="1">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row>
    <row r="519" ht="14.25" customHeight="1">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row>
    <row r="520" ht="14.25" customHeight="1">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row>
    <row r="521" ht="14.25" customHeight="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row>
    <row r="522" ht="14.25" customHeight="1">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row>
    <row r="523" ht="14.25" customHeight="1">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row>
    <row r="524" ht="14.25" customHeight="1">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row>
    <row r="525" ht="14.25" customHeight="1">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row>
    <row r="526" ht="14.25" customHeight="1">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row>
    <row r="527" ht="14.25" customHeight="1">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row>
    <row r="528" ht="14.25" customHeight="1">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row>
    <row r="529" ht="14.25" customHeight="1">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row>
    <row r="530" ht="14.25" customHeight="1">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row>
    <row r="531" ht="14.25" customHeight="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row>
    <row r="532" ht="14.25" customHeight="1">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row>
    <row r="533" ht="14.25" customHeight="1">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row>
    <row r="534" ht="14.25" customHeight="1">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row>
    <row r="535" ht="14.25" customHeight="1">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row>
    <row r="536" ht="14.25" customHeight="1">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row>
    <row r="537" ht="14.25" customHeight="1">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row>
    <row r="538" ht="14.25" customHeight="1">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row>
    <row r="539" ht="14.25" customHeight="1">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row>
    <row r="540" ht="14.25" customHeight="1">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row>
    <row r="541" ht="14.25" customHeight="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row>
    <row r="542" ht="14.25" customHeight="1">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row>
    <row r="543" ht="14.25" customHeight="1">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row>
    <row r="544" ht="14.25" customHeight="1">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row>
    <row r="545" ht="14.25" customHeight="1">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row>
    <row r="546" ht="14.25" customHeight="1">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row>
    <row r="547" ht="14.25" customHeight="1">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row>
    <row r="548" ht="14.25" customHeight="1">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row>
    <row r="549" ht="14.25" customHeight="1">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row>
    <row r="550" ht="14.25" customHeight="1">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row>
    <row r="551" ht="14.25" customHeight="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row>
    <row r="552" ht="14.25" customHeight="1">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row>
    <row r="553" ht="14.25" customHeight="1">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row>
    <row r="554" ht="14.25" customHeight="1">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row>
    <row r="555" ht="14.25" customHeight="1">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row>
    <row r="556" ht="14.25" customHeight="1">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row>
    <row r="557" ht="14.25" customHeight="1">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row>
    <row r="558" ht="14.25" customHeight="1">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row>
    <row r="559" ht="14.25" customHeight="1">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row>
    <row r="560" ht="14.25" customHeight="1">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row>
    <row r="561" ht="14.25" customHeight="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row>
    <row r="562" ht="14.25" customHeight="1">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row>
    <row r="563" ht="14.25" customHeight="1">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row>
    <row r="564" ht="14.25" customHeight="1">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row>
    <row r="565" ht="14.25" customHeight="1">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row>
    <row r="566" ht="14.25" customHeight="1">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row>
    <row r="567" ht="14.25" customHeight="1">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row>
    <row r="568" ht="14.25" customHeight="1">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row>
    <row r="569" ht="14.25" customHeight="1">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row>
    <row r="570" ht="14.25" customHeight="1">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row>
    <row r="571" ht="14.25" customHeight="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row>
    <row r="572" ht="14.25" customHeight="1">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row>
    <row r="573" ht="14.25" customHeight="1">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row>
    <row r="574" ht="14.25" customHeight="1">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row>
    <row r="575" ht="14.25" customHeight="1">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row>
    <row r="576" ht="14.25" customHeight="1">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row>
    <row r="577" ht="14.25" customHeight="1">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row>
    <row r="578" ht="14.25" customHeight="1">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row>
    <row r="579" ht="14.25" customHeight="1">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row>
    <row r="580" ht="14.25" customHeight="1">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row>
    <row r="581" ht="14.25" customHeight="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row>
    <row r="582" ht="14.25" customHeight="1">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row>
    <row r="583" ht="14.25" customHeight="1">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row>
    <row r="584" ht="14.25" customHeight="1">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row>
    <row r="585" ht="14.25" customHeight="1">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row>
    <row r="586" ht="14.25" customHeight="1">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row>
    <row r="587" ht="14.25" customHeight="1">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row>
    <row r="588" ht="14.25" customHeight="1">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row>
    <row r="589" ht="14.25" customHeight="1">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row>
    <row r="590" ht="14.25" customHeight="1">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row>
    <row r="591" ht="14.25" customHeight="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row>
    <row r="592" ht="14.25" customHeight="1">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row>
    <row r="593" ht="14.25" customHeight="1">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row>
    <row r="594" ht="14.25" customHeight="1">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row>
    <row r="595" ht="14.25" customHeight="1">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row>
    <row r="596" ht="14.25" customHeight="1">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row>
    <row r="597" ht="14.25" customHeight="1">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row>
    <row r="598" ht="14.25" customHeight="1">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row>
    <row r="599" ht="14.25" customHeight="1">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row>
    <row r="600" ht="14.25" customHeight="1">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row>
    <row r="601" ht="14.25" customHeight="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row>
    <row r="602" ht="14.25" customHeight="1">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row>
    <row r="603" ht="14.25" customHeight="1">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row>
    <row r="604" ht="14.25" customHeight="1">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row>
    <row r="605" ht="14.25" customHeight="1">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row>
    <row r="606" ht="14.25" customHeight="1">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row>
    <row r="607" ht="14.25" customHeight="1">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row>
    <row r="608" ht="14.25" customHeight="1">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row>
    <row r="609" ht="14.25" customHeight="1">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row>
    <row r="610" ht="14.25" customHeight="1">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row>
    <row r="611" ht="14.25" customHeight="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row>
    <row r="612" ht="14.25" customHeight="1">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row>
    <row r="613" ht="14.25" customHeight="1">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row>
    <row r="614" ht="14.25" customHeight="1">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row>
    <row r="615" ht="14.25" customHeight="1">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row>
    <row r="616" ht="14.25" customHeight="1">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row>
    <row r="617" ht="14.25" customHeight="1">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row>
    <row r="618" ht="14.25" customHeight="1">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row>
    <row r="619" ht="14.25" customHeight="1">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row>
    <row r="620" ht="14.25" customHeight="1">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row>
    <row r="621" ht="14.25" customHeight="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row>
    <row r="622" ht="14.25" customHeight="1">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row>
    <row r="623" ht="14.25" customHeight="1">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row>
    <row r="624" ht="14.25" customHeight="1">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row>
    <row r="625" ht="14.25" customHeight="1">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row>
    <row r="626" ht="14.25" customHeight="1">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row>
    <row r="627" ht="14.25" customHeight="1">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row>
    <row r="628" ht="14.25" customHeight="1">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row>
    <row r="629" ht="14.25" customHeight="1">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row>
    <row r="630" ht="14.25" customHeight="1">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row>
    <row r="631" ht="14.25" customHeight="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row>
    <row r="632" ht="14.25" customHeight="1">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row>
    <row r="633" ht="14.25" customHeight="1">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row>
    <row r="634" ht="14.25" customHeight="1">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row>
    <row r="635" ht="14.25" customHeight="1">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row>
    <row r="636" ht="14.25" customHeight="1">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row>
    <row r="637" ht="14.25" customHeight="1">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row>
    <row r="638" ht="14.25" customHeight="1">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row>
    <row r="639" ht="14.25" customHeight="1">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row>
    <row r="640" ht="14.25" customHeight="1">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row>
    <row r="641" ht="14.25" customHeight="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row>
    <row r="642" ht="14.25" customHeight="1">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row>
    <row r="643" ht="14.25" customHeight="1">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row>
    <row r="644" ht="14.25" customHeight="1">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row>
    <row r="645" ht="14.25" customHeight="1">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row>
    <row r="646" ht="14.25" customHeight="1">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row>
    <row r="647" ht="14.25" customHeight="1">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row>
    <row r="648" ht="14.25" customHeight="1">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row>
    <row r="649" ht="14.25" customHeight="1">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row>
    <row r="650" ht="14.25" customHeight="1">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row>
    <row r="651" ht="14.25" customHeight="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row>
    <row r="652" ht="14.25" customHeight="1">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row>
    <row r="653" ht="14.25" customHeight="1">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row>
    <row r="654" ht="14.25" customHeight="1">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row>
    <row r="655" ht="14.25" customHeight="1">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row>
    <row r="656" ht="14.25" customHeight="1">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row>
    <row r="657" ht="14.25" customHeight="1">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row>
    <row r="658" ht="14.25" customHeight="1">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row>
    <row r="659" ht="14.25" customHeight="1">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row>
    <row r="660" ht="14.25" customHeight="1">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row>
    <row r="661" ht="14.25" customHeight="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row>
    <row r="662" ht="14.25" customHeight="1">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row>
    <row r="663" ht="14.25" customHeight="1">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row>
    <row r="664" ht="14.25" customHeight="1">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row>
    <row r="665" ht="14.25" customHeight="1">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row>
    <row r="666" ht="14.25" customHeight="1">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row>
    <row r="667" ht="14.25" customHeight="1">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row>
    <row r="668" ht="14.25" customHeight="1">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row>
    <row r="669" ht="14.25" customHeight="1">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row>
    <row r="670" ht="14.25" customHeight="1">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row>
    <row r="671" ht="14.25" customHeight="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row>
    <row r="672" ht="14.25" customHeight="1">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row>
    <row r="673" ht="14.25" customHeight="1">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row>
    <row r="674" ht="14.25" customHeight="1">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row>
    <row r="675" ht="14.25" customHeight="1">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row>
    <row r="676" ht="14.25" customHeight="1">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row>
    <row r="677" ht="14.25" customHeight="1">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row>
    <row r="678" ht="14.25" customHeight="1">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row>
    <row r="679" ht="14.25" customHeight="1">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row>
    <row r="680" ht="14.25" customHeight="1">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row>
    <row r="681" ht="14.25" customHeight="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row>
    <row r="682" ht="14.25" customHeight="1">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row>
    <row r="683" ht="14.25" customHeight="1">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row>
    <row r="684" ht="14.25" customHeight="1">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row>
    <row r="685" ht="14.25" customHeight="1">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row>
    <row r="686" ht="14.25" customHeight="1">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row>
    <row r="687" ht="14.25" customHeight="1">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row>
    <row r="688" ht="14.25" customHeight="1">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row>
    <row r="689" ht="14.25" customHeight="1">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row>
    <row r="690" ht="14.25" customHeight="1">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row>
    <row r="691" ht="14.25" customHeight="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row>
    <row r="692" ht="14.25" customHeight="1">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row>
    <row r="693" ht="14.25" customHeight="1">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row>
    <row r="694" ht="14.25" customHeight="1">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row>
    <row r="695" ht="14.25" customHeight="1">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row>
    <row r="696" ht="14.25" customHeight="1">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row>
    <row r="697" ht="14.25" customHeight="1">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row>
    <row r="698" ht="14.25" customHeight="1">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row>
    <row r="699" ht="14.25" customHeight="1">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row>
    <row r="700" ht="14.25" customHeight="1">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row>
    <row r="701" ht="14.25" customHeight="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row>
    <row r="702" ht="14.25" customHeight="1">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row>
    <row r="703" ht="14.25" customHeight="1">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row>
    <row r="704" ht="14.25" customHeight="1">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row>
    <row r="705" ht="14.25" customHeight="1">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row>
    <row r="706" ht="14.25" customHeight="1">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row>
    <row r="707" ht="14.25" customHeight="1">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row>
    <row r="708" ht="14.25" customHeight="1">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row>
    <row r="709" ht="14.25" customHeight="1">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row>
    <row r="710" ht="14.25" customHeight="1">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row>
    <row r="711" ht="14.25" customHeight="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row>
    <row r="712" ht="14.25" customHeight="1">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row>
    <row r="713" ht="14.25" customHeight="1">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row>
    <row r="714" ht="14.25" customHeight="1">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row>
    <row r="715" ht="14.25" customHeight="1">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row>
    <row r="716" ht="14.25" customHeight="1">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row>
    <row r="717" ht="14.25" customHeight="1">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row>
    <row r="718" ht="14.25" customHeight="1">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row>
    <row r="719" ht="14.25" customHeight="1">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row>
    <row r="720" ht="14.25" customHeight="1">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row>
    <row r="721" ht="14.25" customHeight="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row>
    <row r="722" ht="14.25" customHeight="1">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row>
    <row r="723" ht="14.25" customHeight="1">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row>
    <row r="724" ht="14.25" customHeight="1">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row>
    <row r="725" ht="14.25" customHeight="1">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row>
    <row r="726" ht="14.25" customHeight="1">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row>
    <row r="727" ht="14.25" customHeight="1">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row>
    <row r="728" ht="14.25" customHeight="1">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row>
    <row r="729" ht="14.25" customHeight="1">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row>
    <row r="730" ht="14.25" customHeight="1">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row>
    <row r="731" ht="14.25" customHeight="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row>
    <row r="732" ht="14.25" customHeight="1">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row>
    <row r="733" ht="14.25" customHeight="1">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row>
    <row r="734" ht="14.25" customHeight="1">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row>
    <row r="735" ht="14.25" customHeight="1">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row>
    <row r="736" ht="14.25" customHeight="1">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row>
    <row r="737" ht="14.25" customHeight="1">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row>
    <row r="738" ht="14.25" customHeight="1">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row>
    <row r="739" ht="14.25" customHeight="1">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row>
    <row r="740" ht="14.25" customHeight="1">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row>
    <row r="741" ht="14.25" customHeight="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row>
    <row r="742" ht="14.25" customHeight="1">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row>
    <row r="743" ht="14.25" customHeight="1">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row>
    <row r="744" ht="14.25" customHeight="1">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row>
    <row r="745" ht="14.25" customHeight="1">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row>
    <row r="746" ht="14.25" customHeight="1">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row>
    <row r="747" ht="14.25" customHeight="1">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row>
    <row r="748" ht="14.25" customHeight="1">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row>
    <row r="749" ht="14.25" customHeight="1">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row>
    <row r="750" ht="14.25" customHeight="1">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row>
    <row r="751" ht="14.25" customHeight="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row>
    <row r="752" ht="14.25" customHeight="1">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row>
    <row r="753" ht="14.25" customHeight="1">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row>
    <row r="754" ht="14.25" customHeight="1">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row>
    <row r="755" ht="14.25" customHeight="1">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row>
    <row r="756" ht="14.25" customHeight="1">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row>
    <row r="757" ht="14.25" customHeight="1">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row>
    <row r="758" ht="14.25" customHeight="1">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row>
    <row r="759" ht="14.25" customHeight="1">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row>
    <row r="760" ht="14.25" customHeight="1">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row>
    <row r="761" ht="14.25" customHeight="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row>
    <row r="762" ht="14.25" customHeight="1">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row>
    <row r="763" ht="14.25" customHeight="1">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row>
    <row r="764" ht="14.25" customHeight="1">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row>
    <row r="765" ht="14.25" customHeight="1">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row>
    <row r="766" ht="14.25" customHeight="1">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row>
    <row r="767" ht="14.25" customHeight="1">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row>
    <row r="768" ht="14.25" customHeight="1">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row>
    <row r="769" ht="14.25" customHeight="1">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row>
    <row r="770" ht="14.25" customHeight="1">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row>
    <row r="771" ht="14.25" customHeight="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row>
    <row r="772" ht="14.25" customHeight="1">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row>
    <row r="773" ht="14.25" customHeight="1">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row>
    <row r="774" ht="14.25" customHeight="1">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row>
    <row r="775" ht="14.25" customHeight="1">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row>
    <row r="776" ht="14.25" customHeight="1">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row>
    <row r="777" ht="14.25" customHeight="1">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row>
    <row r="778" ht="14.25" customHeight="1">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row>
    <row r="779" ht="14.25" customHeight="1">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row>
    <row r="780" ht="14.25" customHeight="1">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row>
    <row r="781" ht="14.25" customHeight="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row>
    <row r="782" ht="14.25" customHeight="1">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row>
    <row r="783" ht="14.25" customHeight="1">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row>
    <row r="784" ht="14.25" customHeight="1">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row>
    <row r="785" ht="14.25" customHeight="1">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row>
    <row r="786" ht="14.25" customHeight="1">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row>
    <row r="787" ht="14.25" customHeight="1">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row>
    <row r="788" ht="14.25" customHeight="1">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row>
    <row r="789" ht="14.25" customHeight="1">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row>
    <row r="790" ht="14.25" customHeight="1">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row>
    <row r="791" ht="14.25" customHeight="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row>
    <row r="792" ht="14.25" customHeight="1">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row>
    <row r="793" ht="14.25" customHeight="1">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row>
    <row r="794" ht="14.25" customHeight="1">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row>
    <row r="795" ht="14.25" customHeight="1">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row>
    <row r="796" ht="14.25" customHeight="1">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row>
    <row r="797" ht="14.25" customHeight="1">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row>
    <row r="798" ht="14.25" customHeight="1">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row>
    <row r="799" ht="14.25" customHeight="1">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row>
    <row r="800" ht="14.25" customHeight="1">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row>
    <row r="801" ht="14.25" customHeight="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row>
    <row r="802" ht="14.25" customHeight="1">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row>
    <row r="803" ht="14.25" customHeight="1">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row>
    <row r="804" ht="14.25" customHeight="1">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row>
    <row r="805" ht="14.25" customHeight="1">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row>
    <row r="806" ht="14.25" customHeight="1">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row>
    <row r="807" ht="14.25" customHeight="1">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row>
    <row r="808" ht="14.25" customHeight="1">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row>
    <row r="809" ht="14.25" customHeight="1">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row>
    <row r="810" ht="14.25" customHeight="1">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row>
    <row r="811" ht="14.25" customHeight="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row>
    <row r="812" ht="14.25" customHeight="1">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row>
    <row r="813" ht="14.25" customHeight="1">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row>
    <row r="814" ht="14.25" customHeight="1">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row>
    <row r="815" ht="14.25" customHeight="1">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row>
    <row r="816" ht="14.25" customHeight="1">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row>
    <row r="817" ht="14.25" customHeight="1">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row>
    <row r="818" ht="14.25" customHeight="1">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row>
    <row r="819" ht="14.25" customHeight="1">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row>
    <row r="820" ht="14.25" customHeight="1">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row>
    <row r="821" ht="14.25" customHeight="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row>
    <row r="822" ht="14.25" customHeight="1">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row>
    <row r="823" ht="14.25" customHeight="1">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row>
    <row r="824" ht="14.25" customHeight="1">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row>
    <row r="825" ht="14.25" customHeight="1">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row>
    <row r="826" ht="14.25" customHeight="1">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row>
    <row r="827" ht="14.25" customHeight="1">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row>
    <row r="828" ht="14.25" customHeight="1">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row>
    <row r="829" ht="14.25" customHeight="1">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row>
    <row r="830" ht="14.25" customHeight="1">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row>
    <row r="831" ht="14.25" customHeight="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row>
    <row r="832" ht="14.25" customHeight="1">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row>
    <row r="833" ht="14.25" customHeight="1">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row>
    <row r="834" ht="14.25" customHeight="1">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row>
    <row r="835" ht="14.25" customHeight="1">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row>
    <row r="836" ht="14.25" customHeight="1">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row>
    <row r="837" ht="14.25" customHeight="1">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row>
    <row r="838" ht="14.25" customHeight="1">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row>
    <row r="839" ht="14.25" customHeight="1">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row>
    <row r="840" ht="14.25" customHeight="1">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row>
    <row r="841" ht="14.25" customHeight="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row>
    <row r="842" ht="14.25" customHeight="1">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row>
    <row r="843" ht="14.25" customHeight="1">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row>
    <row r="844" ht="14.25" customHeight="1">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row>
    <row r="845" ht="14.25" customHeight="1">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row>
    <row r="846" ht="14.25" customHeight="1">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row>
    <row r="847" ht="14.25" customHeight="1">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row>
    <row r="848" ht="14.25" customHeight="1">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row>
    <row r="849" ht="14.25" customHeight="1">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row>
    <row r="850" ht="14.25" customHeight="1">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row>
    <row r="851" ht="14.25" customHeight="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row>
    <row r="852" ht="14.25" customHeight="1">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row>
    <row r="853" ht="14.25" customHeight="1">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row>
    <row r="854" ht="14.25" customHeight="1">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row>
    <row r="855" ht="14.25" customHeight="1">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row>
    <row r="856" ht="14.25" customHeight="1">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row>
    <row r="857" ht="14.25" customHeight="1">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row>
    <row r="858" ht="14.25" customHeight="1">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row>
    <row r="859" ht="14.25" customHeight="1">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row>
    <row r="860" ht="14.25" customHeight="1">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row>
    <row r="861" ht="14.25" customHeight="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row>
    <row r="862" ht="14.25" customHeight="1">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row>
    <row r="863" ht="14.25" customHeight="1">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row>
    <row r="864" ht="14.25" customHeight="1">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row>
    <row r="865" ht="14.25" customHeight="1">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row>
    <row r="866" ht="14.25" customHeight="1">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row>
    <row r="867" ht="14.25" customHeight="1">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row>
    <row r="868" ht="14.25" customHeight="1">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row>
    <row r="869" ht="14.25" customHeight="1">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row>
    <row r="870" ht="14.25" customHeight="1">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row>
    <row r="871" ht="14.25" customHeight="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row>
    <row r="872" ht="14.25" customHeight="1">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row>
    <row r="873" ht="14.25" customHeight="1">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row>
    <row r="874" ht="14.25" customHeight="1">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row>
    <row r="875" ht="14.25" customHeight="1">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row>
    <row r="876" ht="14.25" customHeight="1">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row>
    <row r="877" ht="14.25" customHeight="1">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row>
    <row r="878" ht="14.25" customHeight="1">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row>
    <row r="879" ht="14.25" customHeight="1">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row>
    <row r="880" ht="14.25" customHeight="1">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row>
    <row r="881" ht="14.25" customHeight="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row>
    <row r="882" ht="14.25" customHeight="1">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row>
    <row r="883" ht="14.25" customHeight="1">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row>
    <row r="884" ht="14.25" customHeight="1">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row>
    <row r="885" ht="14.25" customHeight="1">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row>
    <row r="886" ht="14.25" customHeight="1">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row>
    <row r="887" ht="14.25" customHeight="1">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row>
    <row r="888" ht="14.25" customHeight="1">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row>
    <row r="889" ht="14.25" customHeight="1">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row>
    <row r="890" ht="14.25" customHeight="1">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row>
    <row r="891" ht="14.25" customHeight="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row>
    <row r="892" ht="14.25" customHeight="1">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row>
    <row r="893" ht="14.25" customHeight="1">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row>
    <row r="894" ht="14.25" customHeight="1">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row>
    <row r="895" ht="14.25" customHeight="1">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row>
    <row r="896" ht="14.25" customHeight="1">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row>
    <row r="897" ht="14.25" customHeight="1">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row>
    <row r="898" ht="14.25" customHeight="1">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row>
    <row r="899" ht="14.25" customHeight="1">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row>
    <row r="900" ht="14.25" customHeight="1">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row>
    <row r="901" ht="14.25" customHeight="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row>
    <row r="902" ht="14.25" customHeight="1">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row>
    <row r="903" ht="14.25" customHeight="1">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row>
    <row r="904" ht="14.25" customHeight="1">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row>
    <row r="905" ht="14.25" customHeight="1">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row>
    <row r="906" ht="14.25" customHeight="1">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row>
    <row r="907" ht="14.25" customHeight="1">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row>
    <row r="908" ht="14.25" customHeight="1">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row>
    <row r="909" ht="14.25" customHeight="1">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row>
    <row r="910" ht="14.25" customHeight="1">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row>
    <row r="911" ht="14.25" customHeight="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row>
    <row r="912" ht="14.25" customHeight="1">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row>
    <row r="913" ht="14.25" customHeight="1">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row>
    <row r="914" ht="14.25" customHeight="1">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row>
    <row r="915" ht="14.25" customHeight="1">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row>
    <row r="916" ht="14.25" customHeight="1">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row>
    <row r="917" ht="14.25" customHeight="1">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row>
    <row r="918" ht="14.25" customHeight="1">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row>
    <row r="919" ht="14.25" customHeight="1">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row>
    <row r="920" ht="14.25" customHeight="1">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row>
    <row r="921" ht="14.25" customHeight="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row>
    <row r="922" ht="14.25" customHeight="1">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row>
    <row r="923" ht="14.25" customHeight="1">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row>
    <row r="924" ht="14.25" customHeight="1">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row>
    <row r="925" ht="14.25" customHeight="1">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row>
    <row r="926" ht="14.25" customHeight="1">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row>
    <row r="927" ht="14.25" customHeight="1">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row>
    <row r="928" ht="14.25" customHeight="1">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row>
    <row r="929" ht="14.25" customHeight="1">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row>
    <row r="930" ht="14.25" customHeight="1">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row>
    <row r="931" ht="14.25" customHeight="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row>
    <row r="932" ht="14.25" customHeight="1">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row>
    <row r="933" ht="14.25" customHeight="1">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row>
    <row r="934" ht="14.25" customHeight="1">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row>
    <row r="935" ht="14.25" customHeight="1">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row>
    <row r="936" ht="14.25" customHeight="1">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row>
    <row r="937" ht="14.25" customHeight="1">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row>
    <row r="938" ht="14.25" customHeight="1">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row>
    <row r="939" ht="14.25" customHeight="1">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row>
    <row r="940" ht="14.25" customHeight="1">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row>
    <row r="941" ht="14.25" customHeight="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row>
    <row r="942" ht="14.25" customHeight="1">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row>
    <row r="943" ht="14.25" customHeight="1">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row>
    <row r="944" ht="14.25" customHeight="1">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row>
    <row r="945" ht="14.25" customHeight="1">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row>
    <row r="946" ht="14.25" customHeight="1">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row>
    <row r="947" ht="14.25" customHeight="1">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row>
    <row r="948" ht="14.25" customHeight="1">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row>
    <row r="949" ht="14.25" customHeight="1">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row>
    <row r="950" ht="14.25" customHeight="1">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row>
    <row r="951" ht="14.25" customHeight="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row>
    <row r="952" ht="14.25" customHeight="1">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row>
    <row r="953" ht="14.25" customHeight="1">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row>
    <row r="954" ht="14.25" customHeight="1">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row>
    <row r="955" ht="14.25" customHeight="1">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row>
    <row r="956" ht="14.25" customHeight="1">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row>
    <row r="957" ht="14.25" customHeight="1">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row>
    <row r="958" ht="14.25" customHeight="1">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row>
    <row r="959" ht="14.25" customHeight="1">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row>
    <row r="960" ht="14.25" customHeight="1">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row>
    <row r="961" ht="14.25" customHeight="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row>
    <row r="962" ht="14.25" customHeight="1">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row>
    <row r="963" ht="14.25" customHeight="1">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row>
    <row r="964" ht="14.25" customHeight="1">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row>
    <row r="965" ht="14.25" customHeight="1">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row>
    <row r="966" ht="14.25" customHeight="1">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row>
    <row r="967" ht="14.25" customHeight="1">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row>
    <row r="968" ht="14.25" customHeight="1">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row>
    <row r="969" ht="14.25" customHeight="1">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row>
    <row r="970" ht="14.25" customHeight="1">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row>
    <row r="971" ht="14.25" customHeight="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row>
    <row r="972" ht="14.25" customHeight="1">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row>
    <row r="973" ht="14.25" customHeight="1">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row>
    <row r="974" ht="14.25" customHeight="1">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row>
    <row r="975" ht="14.25" customHeight="1">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row>
    <row r="976" ht="14.25" customHeight="1">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row>
    <row r="977" ht="14.25" customHeight="1">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row>
    <row r="978" ht="14.25" customHeight="1">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row>
    <row r="979" ht="14.25" customHeight="1">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row>
    <row r="980" ht="14.25" customHeight="1">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row>
    <row r="981" ht="14.25" customHeight="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row>
    <row r="982" ht="14.25" customHeight="1">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row>
    <row r="983" ht="14.25" customHeight="1">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row>
    <row r="984" ht="14.25" customHeight="1">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row>
    <row r="985" ht="14.25" customHeight="1">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row>
    <row r="986" ht="14.25" customHeight="1">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row>
    <row r="987" ht="14.25" customHeight="1">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row>
    <row r="988" ht="14.25" customHeight="1">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row>
    <row r="989" ht="14.25" customHeight="1">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row>
    <row r="990" ht="14.25" customHeight="1">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row>
    <row r="991" ht="14.25" customHeight="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row>
    <row r="992" ht="14.25" customHeight="1">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row>
    <row r="993" ht="14.25" customHeight="1">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row>
    <row r="994" ht="14.25" customHeight="1">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row>
    <row r="995" ht="14.25" customHeight="1">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row>
    <row r="996" ht="14.25" customHeight="1">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row>
    <row r="997" ht="14.25" customHeight="1">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row>
    <row r="998" ht="14.25" customHeight="1">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row>
    <row r="999" ht="14.25" customHeight="1">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row>
    <row r="1000" ht="14.25" customHeight="1">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row>
    <row r="1001" ht="14.25" customHeight="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c r="X1001" s="146"/>
      <c r="Y1001" s="146"/>
      <c r="Z1001" s="146"/>
    </row>
  </sheetData>
  <mergeCells count="2">
    <mergeCell ref="A1:L1"/>
    <mergeCell ref="A2:L2"/>
  </mergeCells>
  <conditionalFormatting sqref="K4:K1001">
    <cfRule type="cellIs" dxfId="0" priority="1" operator="equal">
      <formula>"Done"</formula>
    </cfRule>
  </conditionalFormatting>
  <conditionalFormatting sqref="K4:K1001">
    <cfRule type="cellIs" dxfId="0" priority="2" operator="equal">
      <formula>"Completed"</formula>
    </cfRule>
  </conditionalFormatting>
  <conditionalFormatting sqref="K4:K1001">
    <cfRule type="cellIs" dxfId="0" priority="3" operator="equal">
      <formula>"Closed"</formula>
    </cfRule>
  </conditionalFormatting>
  <conditionalFormatting sqref="K4:K1001">
    <cfRule type="cellIs" dxfId="0" priority="4" operator="equal">
      <formula>"Fixed"</formula>
    </cfRule>
  </conditionalFormatting>
  <conditionalFormatting sqref="K4:K1001">
    <cfRule type="cellIs" dxfId="0" priority="5" operator="equal">
      <formula>"Approved"</formula>
    </cfRule>
  </conditionalFormatting>
  <conditionalFormatting sqref="K4:K1001">
    <cfRule type="cellIs" dxfId="1" priority="6" operator="equal">
      <formula>"In Progress"</formula>
    </cfRule>
  </conditionalFormatting>
  <conditionalFormatting sqref="K4:K1001">
    <cfRule type="cellIs" dxfId="2" priority="7" operator="equal">
      <formula>"Open"</formula>
    </cfRule>
  </conditionalFormatting>
  <conditionalFormatting sqref="K4:K1001">
    <cfRule type="cellIs" dxfId="1" priority="8" operator="equal">
      <formula>"Pending"</formula>
    </cfRule>
  </conditionalFormatting>
  <conditionalFormatting sqref="K4:K1001">
    <cfRule type="cellIs" dxfId="2" priority="9" operator="equal">
      <formula>"Blocked"</formula>
    </cfRule>
  </conditionalFormatting>
  <conditionalFormatting sqref="K4:K1001">
    <cfRule type="cellIs" dxfId="3" priority="10" operator="equal">
      <formula>"Cancelled"</formula>
    </cfRule>
  </conditionalFormatting>
  <conditionalFormatting sqref="K4:K1001">
    <cfRule type="cellIs" dxfId="2" priority="11" operator="equal">
      <formula>"Rejected"</formula>
    </cfRule>
  </conditionalFormatting>
  <conditionalFormatting sqref="K4:K1001">
    <cfRule type="cellIs" dxfId="4" priority="12" operator="equal">
      <formula>"Submitted"</formula>
    </cfRule>
  </conditionalFormatting>
  <dataValidations>
    <dataValidation type="list" allowBlank="1" sqref="D4:E101">
      <formula1>"High,Medium,Low"</formula1>
    </dataValidation>
    <dataValidation type="list" allowBlank="1" sqref="K4:K101">
      <formula1>"Open,Mitigated,Occurred,Closed"</formula1>
    </dataValidation>
    <dataValidation type="list" allowBlank="1" sqref="C4:C101">
      <formula1>"Technical,Schedule,Resource,Scope,External,Quality,Other"</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8.86"/>
    <col customWidth="1" min="2" max="2" width="12.0"/>
    <col customWidth="1" min="3" max="3" width="36.0"/>
    <col customWidth="1" min="4" max="4" width="14.0"/>
    <col customWidth="1" min="5" max="5" width="18.0"/>
    <col customWidth="1" min="6" max="6" width="22.0"/>
    <col customWidth="1" min="7" max="7" width="16.0"/>
    <col customWidth="1" min="8" max="8" width="18.0"/>
    <col customWidth="1" min="9" max="9" width="10.0"/>
    <col customWidth="1" min="10" max="10" width="14.0"/>
    <col customWidth="1" min="11" max="11" width="12.0"/>
    <col customWidth="1" min="12" max="12" width="20.0"/>
    <col customWidth="1" min="13" max="26" width="8.71"/>
  </cols>
  <sheetData>
    <row r="1" ht="27.75" customHeight="1">
      <c r="A1" s="4" t="s">
        <v>786</v>
      </c>
      <c r="M1" s="1"/>
      <c r="N1" s="1"/>
      <c r="O1" s="1"/>
      <c r="P1" s="1"/>
      <c r="Q1" s="1"/>
      <c r="R1" s="1"/>
      <c r="S1" s="1"/>
      <c r="T1" s="1"/>
      <c r="U1" s="1"/>
      <c r="V1" s="1"/>
      <c r="W1" s="1"/>
      <c r="X1" s="1"/>
      <c r="Y1" s="1"/>
      <c r="Z1" s="1"/>
    </row>
    <row r="2" ht="15.75" customHeight="1">
      <c r="A2" s="10" t="s">
        <v>787</v>
      </c>
      <c r="M2" s="1"/>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58" t="s">
        <v>7</v>
      </c>
      <c r="B4" s="158" t="s">
        <v>14</v>
      </c>
      <c r="C4" s="158" t="s">
        <v>788</v>
      </c>
      <c r="D4" s="158" t="s">
        <v>789</v>
      </c>
      <c r="E4" s="158" t="s">
        <v>790</v>
      </c>
      <c r="F4" s="158" t="s">
        <v>791</v>
      </c>
      <c r="G4" s="158" t="s">
        <v>792</v>
      </c>
      <c r="H4" s="158" t="s">
        <v>793</v>
      </c>
      <c r="I4" s="158" t="s">
        <v>21</v>
      </c>
      <c r="J4" s="158" t="s">
        <v>22</v>
      </c>
      <c r="K4" s="158" t="s">
        <v>16</v>
      </c>
      <c r="L4" s="158" t="s">
        <v>24</v>
      </c>
      <c r="M4" s="1"/>
      <c r="N4" s="1"/>
      <c r="O4" s="1"/>
      <c r="P4" s="1"/>
      <c r="Q4" s="1"/>
      <c r="R4" s="1"/>
      <c r="S4" s="1"/>
      <c r="T4" s="1"/>
      <c r="U4" s="1"/>
      <c r="V4" s="1"/>
      <c r="W4" s="1"/>
      <c r="X4" s="1"/>
      <c r="Y4" s="1"/>
      <c r="Z4" s="1"/>
    </row>
    <row r="5" ht="59.25" customHeight="1">
      <c r="A5" s="159" t="s">
        <v>794</v>
      </c>
      <c r="B5" s="160" t="s">
        <v>360</v>
      </c>
      <c r="C5" s="161" t="s">
        <v>795</v>
      </c>
      <c r="D5" s="162" t="s">
        <v>76</v>
      </c>
      <c r="E5" s="163" t="s">
        <v>796</v>
      </c>
      <c r="F5" s="163" t="s">
        <v>797</v>
      </c>
      <c r="G5" s="160" t="s">
        <v>798</v>
      </c>
      <c r="H5" s="160" t="s">
        <v>799</v>
      </c>
      <c r="I5" s="99" t="s">
        <v>43</v>
      </c>
      <c r="J5" s="164"/>
      <c r="K5" s="99" t="s">
        <v>521</v>
      </c>
      <c r="L5" s="163" t="s">
        <v>800</v>
      </c>
      <c r="M5" s="1"/>
      <c r="N5" s="1"/>
      <c r="O5" s="1"/>
      <c r="P5" s="1"/>
      <c r="Q5" s="1"/>
      <c r="R5" s="1"/>
      <c r="S5" s="1"/>
      <c r="T5" s="1"/>
      <c r="U5" s="1"/>
      <c r="V5" s="1"/>
      <c r="W5" s="1"/>
      <c r="X5" s="1"/>
      <c r="Y5" s="1"/>
      <c r="Z5" s="1"/>
    </row>
    <row r="6" ht="38.25" customHeight="1">
      <c r="A6" s="159" t="s">
        <v>801</v>
      </c>
      <c r="B6" s="96" t="s">
        <v>360</v>
      </c>
      <c r="C6" s="97" t="s">
        <v>802</v>
      </c>
      <c r="D6" s="97" t="s">
        <v>76</v>
      </c>
      <c r="E6" s="97" t="s">
        <v>803</v>
      </c>
      <c r="F6" s="97" t="s">
        <v>804</v>
      </c>
      <c r="G6" s="96" t="s">
        <v>805</v>
      </c>
      <c r="H6" s="96" t="s">
        <v>804</v>
      </c>
      <c r="I6" s="99" t="s">
        <v>43</v>
      </c>
      <c r="J6" s="50"/>
      <c r="K6" s="99" t="s">
        <v>521</v>
      </c>
      <c r="L6" s="97" t="s">
        <v>806</v>
      </c>
      <c r="M6" s="1"/>
      <c r="N6" s="1"/>
      <c r="O6" s="1"/>
      <c r="P6" s="1"/>
      <c r="Q6" s="1"/>
      <c r="R6" s="1"/>
      <c r="S6" s="1"/>
      <c r="T6" s="1"/>
      <c r="U6" s="1"/>
      <c r="V6" s="1"/>
      <c r="W6" s="1"/>
      <c r="X6" s="1"/>
      <c r="Y6" s="1"/>
      <c r="Z6" s="1"/>
    </row>
    <row r="7" ht="47.25" customHeight="1">
      <c r="A7" s="159" t="s">
        <v>807</v>
      </c>
      <c r="B7" s="160" t="s">
        <v>360</v>
      </c>
      <c r="C7" s="163" t="s">
        <v>808</v>
      </c>
      <c r="D7" s="163" t="s">
        <v>76</v>
      </c>
      <c r="E7" s="163" t="s">
        <v>809</v>
      </c>
      <c r="F7" s="163" t="s">
        <v>810</v>
      </c>
      <c r="G7" s="160" t="s">
        <v>805</v>
      </c>
      <c r="H7" s="160" t="s">
        <v>804</v>
      </c>
      <c r="I7" s="99" t="s">
        <v>43</v>
      </c>
      <c r="J7" s="164"/>
      <c r="K7" s="99" t="s">
        <v>521</v>
      </c>
      <c r="L7" s="163" t="s">
        <v>811</v>
      </c>
      <c r="M7" s="1"/>
      <c r="N7" s="1"/>
      <c r="O7" s="1"/>
      <c r="P7" s="1"/>
      <c r="Q7" s="1"/>
      <c r="R7" s="1"/>
      <c r="S7" s="1"/>
      <c r="T7" s="1"/>
      <c r="U7" s="1"/>
      <c r="V7" s="1"/>
      <c r="W7" s="1"/>
      <c r="X7" s="1"/>
      <c r="Y7" s="1"/>
      <c r="Z7" s="1"/>
    </row>
    <row r="8" ht="52.5" customHeight="1">
      <c r="A8" s="159" t="s">
        <v>812</v>
      </c>
      <c r="B8" s="96" t="s">
        <v>360</v>
      </c>
      <c r="C8" s="97" t="s">
        <v>813</v>
      </c>
      <c r="D8" s="97" t="s">
        <v>76</v>
      </c>
      <c r="E8" s="97" t="s">
        <v>814</v>
      </c>
      <c r="F8" s="97" t="s">
        <v>815</v>
      </c>
      <c r="G8" s="96" t="s">
        <v>805</v>
      </c>
      <c r="H8" s="96" t="s">
        <v>804</v>
      </c>
      <c r="I8" s="99" t="s">
        <v>43</v>
      </c>
      <c r="J8" s="50"/>
      <c r="K8" s="99" t="s">
        <v>521</v>
      </c>
      <c r="L8" s="97" t="s">
        <v>816</v>
      </c>
      <c r="M8" s="1"/>
      <c r="N8" s="1"/>
      <c r="O8" s="1"/>
      <c r="P8" s="1"/>
      <c r="Q8" s="1"/>
      <c r="R8" s="1"/>
      <c r="S8" s="1"/>
      <c r="T8" s="1"/>
      <c r="U8" s="1"/>
      <c r="V8" s="1"/>
      <c r="W8" s="1"/>
      <c r="X8" s="1"/>
      <c r="Y8" s="1"/>
      <c r="Z8" s="1"/>
    </row>
    <row r="9" ht="45.0" customHeight="1">
      <c r="A9" s="159" t="s">
        <v>817</v>
      </c>
      <c r="B9" s="96" t="s">
        <v>818</v>
      </c>
      <c r="C9" s="97" t="s">
        <v>819</v>
      </c>
      <c r="D9" s="97" t="s">
        <v>76</v>
      </c>
      <c r="E9" s="50"/>
      <c r="F9" s="50"/>
      <c r="G9" s="50"/>
      <c r="H9" s="50"/>
      <c r="I9" s="99" t="s">
        <v>43</v>
      </c>
      <c r="J9" s="50"/>
      <c r="K9" s="99" t="s">
        <v>521</v>
      </c>
      <c r="L9" s="50"/>
      <c r="M9" s="1"/>
      <c r="N9" s="1"/>
      <c r="O9" s="1"/>
      <c r="P9" s="1"/>
      <c r="Q9" s="1"/>
      <c r="R9" s="1"/>
      <c r="S9" s="1"/>
      <c r="T9" s="1"/>
      <c r="U9" s="1"/>
      <c r="V9" s="1"/>
      <c r="W9" s="1"/>
      <c r="X9" s="1"/>
      <c r="Y9" s="1"/>
      <c r="Z9" s="1"/>
    </row>
    <row r="10" ht="42.75" customHeight="1">
      <c r="A10" s="159" t="s">
        <v>820</v>
      </c>
      <c r="B10" s="96" t="s">
        <v>818</v>
      </c>
      <c r="C10" s="97" t="s">
        <v>821</v>
      </c>
      <c r="D10" s="97" t="s">
        <v>76</v>
      </c>
      <c r="E10" s="50"/>
      <c r="F10" s="50"/>
      <c r="G10" s="50"/>
      <c r="H10" s="50"/>
      <c r="I10" s="99" t="s">
        <v>43</v>
      </c>
      <c r="J10" s="50"/>
      <c r="K10" s="99" t="s">
        <v>521</v>
      </c>
      <c r="L10" s="50"/>
      <c r="M10" s="1"/>
      <c r="N10" s="1"/>
      <c r="O10" s="1"/>
      <c r="P10" s="1"/>
      <c r="Q10" s="1"/>
      <c r="R10" s="1"/>
      <c r="S10" s="1"/>
      <c r="T10" s="1"/>
      <c r="U10" s="1"/>
      <c r="V10" s="1"/>
      <c r="W10" s="1"/>
      <c r="X10" s="1"/>
      <c r="Y10" s="1"/>
      <c r="Z10" s="1"/>
    </row>
    <row r="11" ht="19.5" customHeight="1">
      <c r="A11" s="159" t="s">
        <v>822</v>
      </c>
      <c r="B11" s="160" t="s">
        <v>414</v>
      </c>
      <c r="C11" s="163" t="s">
        <v>823</v>
      </c>
      <c r="D11" s="163" t="s">
        <v>76</v>
      </c>
      <c r="E11" s="163" t="s">
        <v>824</v>
      </c>
      <c r="F11" s="163" t="s">
        <v>825</v>
      </c>
      <c r="G11" s="160" t="s">
        <v>805</v>
      </c>
      <c r="H11" s="160" t="s">
        <v>804</v>
      </c>
      <c r="I11" s="99" t="s">
        <v>43</v>
      </c>
      <c r="J11" s="164"/>
      <c r="K11" s="99" t="s">
        <v>521</v>
      </c>
      <c r="L11" s="163" t="s">
        <v>826</v>
      </c>
      <c r="M11" s="1"/>
      <c r="N11" s="1"/>
      <c r="O11" s="1"/>
      <c r="P11" s="1"/>
      <c r="Q11" s="1"/>
      <c r="R11" s="1"/>
      <c r="S11" s="1"/>
      <c r="T11" s="1"/>
      <c r="U11" s="1"/>
      <c r="V11" s="1"/>
      <c r="W11" s="1"/>
      <c r="X11" s="1"/>
      <c r="Y11" s="1"/>
      <c r="Z11" s="1"/>
    </row>
    <row r="12" ht="19.5" customHeight="1">
      <c r="A12" s="159" t="s">
        <v>827</v>
      </c>
      <c r="B12" s="160" t="s">
        <v>493</v>
      </c>
      <c r="C12" s="163" t="s">
        <v>828</v>
      </c>
      <c r="D12" s="163" t="s">
        <v>76</v>
      </c>
      <c r="E12" s="163" t="s">
        <v>829</v>
      </c>
      <c r="F12" s="163" t="s">
        <v>804</v>
      </c>
      <c r="G12" s="160" t="s">
        <v>805</v>
      </c>
      <c r="H12" s="160" t="s">
        <v>804</v>
      </c>
      <c r="I12" s="99" t="s">
        <v>43</v>
      </c>
      <c r="J12" s="50"/>
      <c r="K12" s="99" t="s">
        <v>521</v>
      </c>
      <c r="L12" s="163" t="s">
        <v>830</v>
      </c>
      <c r="M12" s="1"/>
      <c r="N12" s="1"/>
      <c r="O12" s="1"/>
      <c r="P12" s="1"/>
      <c r="Q12" s="1"/>
      <c r="R12" s="1"/>
      <c r="S12" s="1"/>
      <c r="T12" s="1"/>
      <c r="U12" s="1"/>
      <c r="V12" s="1"/>
      <c r="W12" s="1"/>
      <c r="X12" s="1"/>
      <c r="Y12" s="1"/>
      <c r="Z12" s="1"/>
    </row>
    <row r="13" ht="19.5" customHeight="1">
      <c r="A13" s="159" t="s">
        <v>831</v>
      </c>
      <c r="B13" s="160" t="s">
        <v>493</v>
      </c>
      <c r="C13" s="163" t="s">
        <v>832</v>
      </c>
      <c r="D13" s="163" t="s">
        <v>76</v>
      </c>
      <c r="E13" s="163" t="s">
        <v>833</v>
      </c>
      <c r="F13" s="163" t="s">
        <v>804</v>
      </c>
      <c r="G13" s="160" t="s">
        <v>805</v>
      </c>
      <c r="H13" s="160" t="s">
        <v>804</v>
      </c>
      <c r="I13" s="99" t="s">
        <v>43</v>
      </c>
      <c r="J13" s="164"/>
      <c r="K13" s="99" t="s">
        <v>521</v>
      </c>
      <c r="L13" s="163" t="s">
        <v>834</v>
      </c>
      <c r="M13" s="1"/>
      <c r="N13" s="1"/>
      <c r="O13" s="1"/>
      <c r="P13" s="1"/>
      <c r="Q13" s="1"/>
      <c r="R13" s="1"/>
      <c r="S13" s="1"/>
      <c r="T13" s="1"/>
      <c r="U13" s="1"/>
      <c r="V13" s="1"/>
      <c r="W13" s="1"/>
      <c r="X13" s="1"/>
      <c r="Y13" s="1"/>
      <c r="Z13" s="1"/>
    </row>
    <row r="14" ht="19.5" customHeight="1">
      <c r="A14" s="159" t="s">
        <v>835</v>
      </c>
      <c r="B14" s="50" t="s">
        <v>836</v>
      </c>
      <c r="C14" s="50" t="s">
        <v>837</v>
      </c>
      <c r="D14" s="50" t="s">
        <v>76</v>
      </c>
      <c r="E14" s="50" t="s">
        <v>838</v>
      </c>
      <c r="F14" s="50" t="s">
        <v>839</v>
      </c>
      <c r="G14" s="50" t="s">
        <v>805</v>
      </c>
      <c r="H14" s="50" t="s">
        <v>804</v>
      </c>
      <c r="I14" s="99" t="s">
        <v>43</v>
      </c>
      <c r="J14" s="50"/>
      <c r="K14" s="99" t="s">
        <v>521</v>
      </c>
      <c r="L14" s="50"/>
      <c r="M14" s="1"/>
      <c r="N14" s="1"/>
      <c r="O14" s="1"/>
      <c r="P14" s="1"/>
      <c r="Q14" s="1"/>
      <c r="R14" s="1"/>
      <c r="S14" s="1"/>
      <c r="T14" s="1"/>
      <c r="U14" s="1"/>
      <c r="V14" s="1"/>
      <c r="W14" s="1"/>
      <c r="X14" s="1"/>
      <c r="Y14" s="1"/>
      <c r="Z14" s="1"/>
    </row>
    <row r="15" ht="19.5" customHeight="1">
      <c r="A15" s="159" t="s">
        <v>840</v>
      </c>
      <c r="B15" s="164" t="s">
        <v>836</v>
      </c>
      <c r="C15" s="164" t="s">
        <v>841</v>
      </c>
      <c r="D15" s="164" t="s">
        <v>76</v>
      </c>
      <c r="E15" s="164" t="s">
        <v>842</v>
      </c>
      <c r="F15" s="164" t="s">
        <v>843</v>
      </c>
      <c r="G15" s="164" t="s">
        <v>844</v>
      </c>
      <c r="H15" s="164" t="s">
        <v>845</v>
      </c>
      <c r="I15" s="99" t="s">
        <v>43</v>
      </c>
      <c r="J15" s="164"/>
      <c r="K15" s="99" t="s">
        <v>521</v>
      </c>
      <c r="L15" s="164"/>
      <c r="M15" s="1"/>
      <c r="N15" s="1"/>
      <c r="O15" s="1"/>
      <c r="P15" s="1"/>
      <c r="Q15" s="1"/>
      <c r="R15" s="1"/>
      <c r="S15" s="1"/>
      <c r="T15" s="1"/>
      <c r="U15" s="1"/>
      <c r="V15" s="1"/>
      <c r="W15" s="1"/>
      <c r="X15" s="1"/>
      <c r="Y15" s="1"/>
      <c r="Z15" s="1"/>
    </row>
    <row r="16" ht="19.5" customHeight="1">
      <c r="A16" s="159" t="s">
        <v>846</v>
      </c>
      <c r="B16" s="50" t="s">
        <v>859</v>
      </c>
      <c r="C16" s="50" t="s">
        <v>860</v>
      </c>
      <c r="D16" s="50" t="s">
        <v>76</v>
      </c>
      <c r="E16" s="50" t="s">
        <v>861</v>
      </c>
      <c r="F16" s="50" t="s">
        <v>862</v>
      </c>
      <c r="G16" s="50" t="s">
        <v>863</v>
      </c>
      <c r="H16" s="50" t="s">
        <v>845</v>
      </c>
      <c r="I16" s="99" t="s">
        <v>43</v>
      </c>
      <c r="J16" s="50"/>
      <c r="K16" s="99" t="s">
        <v>521</v>
      </c>
      <c r="L16" s="50" t="s">
        <v>864</v>
      </c>
      <c r="M16" s="1"/>
      <c r="N16" s="1"/>
      <c r="O16" s="1"/>
      <c r="P16" s="1"/>
      <c r="Q16" s="1"/>
      <c r="R16" s="1"/>
      <c r="S16" s="1"/>
      <c r="T16" s="1"/>
      <c r="U16" s="1"/>
      <c r="V16" s="1"/>
      <c r="W16" s="1"/>
      <c r="X16" s="1"/>
      <c r="Y16" s="1"/>
      <c r="Z16" s="1"/>
    </row>
    <row r="17" ht="19.5" customHeight="1">
      <c r="A17" s="159" t="s">
        <v>847</v>
      </c>
      <c r="B17" s="164" t="s">
        <v>859</v>
      </c>
      <c r="C17" s="164" t="s">
        <v>869</v>
      </c>
      <c r="D17" s="164" t="s">
        <v>76</v>
      </c>
      <c r="E17" s="164" t="s">
        <v>870</v>
      </c>
      <c r="F17" s="164" t="s">
        <v>871</v>
      </c>
      <c r="G17" s="164" t="s">
        <v>872</v>
      </c>
      <c r="H17" s="164" t="s">
        <v>804</v>
      </c>
      <c r="I17" s="99" t="s">
        <v>43</v>
      </c>
      <c r="J17" s="164"/>
      <c r="K17" s="99" t="s">
        <v>521</v>
      </c>
      <c r="L17" s="164" t="s">
        <v>873</v>
      </c>
      <c r="M17" s="1"/>
      <c r="N17" s="1"/>
      <c r="O17" s="1"/>
      <c r="P17" s="1"/>
      <c r="Q17" s="1"/>
      <c r="R17" s="1"/>
      <c r="S17" s="1"/>
      <c r="T17" s="1"/>
      <c r="U17" s="1"/>
      <c r="V17" s="1"/>
      <c r="W17" s="1"/>
      <c r="X17" s="1"/>
      <c r="Y17" s="1"/>
      <c r="Z17" s="1"/>
    </row>
    <row r="18" ht="19.5" customHeight="1">
      <c r="A18" s="159" t="s">
        <v>848</v>
      </c>
      <c r="B18" s="50" t="s">
        <v>859</v>
      </c>
      <c r="C18" s="50" t="s">
        <v>875</v>
      </c>
      <c r="D18" s="50" t="s">
        <v>76</v>
      </c>
      <c r="E18" s="50" t="s">
        <v>876</v>
      </c>
      <c r="F18" s="50" t="s">
        <v>877</v>
      </c>
      <c r="G18" s="50" t="s">
        <v>805</v>
      </c>
      <c r="H18" s="50" t="s">
        <v>804</v>
      </c>
      <c r="I18" s="99" t="s">
        <v>43</v>
      </c>
      <c r="J18" s="50"/>
      <c r="K18" s="99" t="s">
        <v>521</v>
      </c>
      <c r="L18" s="50" t="s">
        <v>878</v>
      </c>
      <c r="M18" s="1"/>
      <c r="N18" s="1"/>
      <c r="O18" s="1"/>
      <c r="P18" s="1"/>
      <c r="Q18" s="1"/>
      <c r="R18" s="1"/>
      <c r="S18" s="1"/>
      <c r="T18" s="1"/>
      <c r="U18" s="1"/>
      <c r="V18" s="1"/>
      <c r="W18" s="1"/>
      <c r="X18" s="1"/>
      <c r="Y18" s="1"/>
      <c r="Z18" s="1"/>
    </row>
    <row r="19" ht="19.5" customHeight="1">
      <c r="A19" s="159" t="s">
        <v>849</v>
      </c>
      <c r="B19" s="164"/>
      <c r="C19" s="164"/>
      <c r="D19" s="164"/>
      <c r="E19" s="164"/>
      <c r="F19" s="164"/>
      <c r="G19" s="164"/>
      <c r="H19" s="164"/>
      <c r="I19" s="99" t="s">
        <v>43</v>
      </c>
      <c r="J19" s="164"/>
      <c r="K19" s="99" t="s">
        <v>521</v>
      </c>
      <c r="L19" s="164"/>
      <c r="M19" s="1"/>
      <c r="N19" s="1"/>
      <c r="O19" s="1"/>
      <c r="P19" s="1"/>
      <c r="Q19" s="1"/>
      <c r="R19" s="1"/>
      <c r="S19" s="1"/>
      <c r="T19" s="1"/>
      <c r="U19" s="1"/>
      <c r="V19" s="1"/>
      <c r="W19" s="1"/>
      <c r="X19" s="1"/>
      <c r="Y19" s="1"/>
      <c r="Z19" s="1"/>
    </row>
    <row r="20" ht="19.5" customHeight="1">
      <c r="A20" s="159" t="s">
        <v>850</v>
      </c>
      <c r="B20" s="50"/>
      <c r="C20" s="50"/>
      <c r="D20" s="50"/>
      <c r="E20" s="50"/>
      <c r="F20" s="50"/>
      <c r="G20" s="50"/>
      <c r="H20" s="50"/>
      <c r="I20" s="99" t="s">
        <v>43</v>
      </c>
      <c r="J20" s="50"/>
      <c r="K20" s="99" t="s">
        <v>521</v>
      </c>
      <c r="L20" s="50"/>
      <c r="M20" s="1"/>
      <c r="N20" s="1"/>
      <c r="O20" s="1"/>
      <c r="P20" s="1"/>
      <c r="Q20" s="1"/>
      <c r="R20" s="1"/>
      <c r="S20" s="1"/>
      <c r="T20" s="1"/>
      <c r="U20" s="1"/>
      <c r="V20" s="1"/>
      <c r="W20" s="1"/>
      <c r="X20" s="1"/>
      <c r="Y20" s="1"/>
      <c r="Z20" s="1"/>
    </row>
    <row r="21" ht="19.5" customHeight="1">
      <c r="A21" s="159" t="s">
        <v>851</v>
      </c>
      <c r="B21" s="164"/>
      <c r="C21" s="164"/>
      <c r="D21" s="164"/>
      <c r="E21" s="164"/>
      <c r="F21" s="164"/>
      <c r="G21" s="164"/>
      <c r="H21" s="164"/>
      <c r="I21" s="99" t="s">
        <v>43</v>
      </c>
      <c r="J21" s="164"/>
      <c r="K21" s="99" t="s">
        <v>521</v>
      </c>
      <c r="L21" s="164"/>
      <c r="M21" s="1"/>
      <c r="N21" s="1"/>
      <c r="O21" s="1"/>
      <c r="P21" s="1"/>
      <c r="Q21" s="1"/>
      <c r="R21" s="1"/>
      <c r="S21" s="1"/>
      <c r="T21" s="1"/>
      <c r="U21" s="1"/>
      <c r="V21" s="1"/>
      <c r="W21" s="1"/>
      <c r="X21" s="1"/>
      <c r="Y21" s="1"/>
      <c r="Z21" s="1"/>
    </row>
    <row r="22" ht="19.5" customHeight="1">
      <c r="A22" s="159" t="s">
        <v>852</v>
      </c>
      <c r="B22" s="50"/>
      <c r="C22" s="50"/>
      <c r="D22" s="50"/>
      <c r="E22" s="50"/>
      <c r="F22" s="50"/>
      <c r="G22" s="50"/>
      <c r="H22" s="50"/>
      <c r="I22" s="99" t="s">
        <v>43</v>
      </c>
      <c r="J22" s="50"/>
      <c r="K22" s="99" t="s">
        <v>521</v>
      </c>
      <c r="L22" s="50"/>
      <c r="M22" s="1"/>
      <c r="N22" s="1"/>
      <c r="O22" s="1"/>
      <c r="P22" s="1"/>
      <c r="Q22" s="1"/>
      <c r="R22" s="1"/>
      <c r="S22" s="1"/>
      <c r="T22" s="1"/>
      <c r="U22" s="1"/>
      <c r="V22" s="1"/>
      <c r="W22" s="1"/>
      <c r="X22" s="1"/>
      <c r="Y22" s="1"/>
      <c r="Z22" s="1"/>
    </row>
    <row r="23" ht="19.5" customHeight="1">
      <c r="A23" s="159" t="s">
        <v>853</v>
      </c>
      <c r="B23" s="164"/>
      <c r="C23" s="164"/>
      <c r="D23" s="164"/>
      <c r="E23" s="164"/>
      <c r="F23" s="164"/>
      <c r="G23" s="164"/>
      <c r="H23" s="164"/>
      <c r="I23" s="99" t="s">
        <v>43</v>
      </c>
      <c r="J23" s="164"/>
      <c r="K23" s="99" t="s">
        <v>521</v>
      </c>
      <c r="L23" s="164"/>
      <c r="M23" s="1"/>
      <c r="N23" s="1"/>
      <c r="O23" s="1"/>
      <c r="P23" s="1"/>
      <c r="Q23" s="1"/>
      <c r="R23" s="1"/>
      <c r="S23" s="1"/>
      <c r="T23" s="1"/>
      <c r="U23" s="1"/>
      <c r="V23" s="1"/>
      <c r="W23" s="1"/>
      <c r="X23" s="1"/>
      <c r="Y23" s="1"/>
      <c r="Z23" s="1"/>
    </row>
    <row r="24" ht="19.5" customHeight="1">
      <c r="A24" s="159" t="s">
        <v>854</v>
      </c>
      <c r="B24" s="50"/>
      <c r="C24" s="50"/>
      <c r="D24" s="50"/>
      <c r="E24" s="50"/>
      <c r="F24" s="50"/>
      <c r="G24" s="50"/>
      <c r="H24" s="50"/>
      <c r="I24" s="99" t="s">
        <v>43</v>
      </c>
      <c r="J24" s="50"/>
      <c r="K24" s="99" t="s">
        <v>521</v>
      </c>
      <c r="L24" s="50"/>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row>
    <row r="202" ht="14.25" customHeight="1">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row>
    <row r="203" ht="14.25" customHeight="1">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row>
    <row r="204" ht="14.25" customHeight="1">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row>
    <row r="205" ht="14.25" customHeight="1">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row>
    <row r="206" ht="14.25" customHeight="1">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row>
    <row r="207" ht="14.25" customHeight="1">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row>
    <row r="208" ht="14.25" customHeight="1">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row>
    <row r="209" ht="14.25" customHeight="1">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row>
    <row r="210" ht="14.25" customHeight="1">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row>
    <row r="211" ht="14.25" customHeight="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row>
    <row r="212" ht="14.25" customHeight="1">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row>
    <row r="213" ht="14.25" customHeight="1">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row>
    <row r="214" ht="14.25" customHeight="1">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row>
    <row r="215" ht="14.25" customHeight="1">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row>
    <row r="216" ht="14.25" customHeight="1">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row>
    <row r="217" ht="14.25" customHeight="1">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row>
    <row r="218" ht="14.25" customHeight="1">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row>
    <row r="219" ht="14.25" customHeight="1">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row>
    <row r="220" ht="14.25" customHeight="1">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row>
    <row r="221" ht="14.25" customHeight="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row>
    <row r="222" ht="14.25" customHeight="1">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row>
    <row r="223" ht="14.25" customHeight="1">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row>
    <row r="224" ht="14.25" customHeight="1">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row>
    <row r="225" ht="14.25" customHeight="1">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row>
    <row r="226" ht="14.25" customHeight="1">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row>
    <row r="227" ht="14.25" customHeight="1">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row>
    <row r="228" ht="14.25" customHeight="1">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row>
    <row r="229" ht="14.25" customHeight="1">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row>
    <row r="230" ht="14.25" customHeight="1">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row>
    <row r="231" ht="14.25" customHeight="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row>
    <row r="232" ht="14.25" customHeight="1">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row>
    <row r="233" ht="14.25" customHeight="1">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row>
    <row r="234" ht="14.25" customHeight="1">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row>
    <row r="235" ht="14.25" customHeight="1">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row>
    <row r="236" ht="14.25" customHeight="1">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row>
    <row r="237" ht="14.25" customHeight="1">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row>
    <row r="238" ht="14.25" customHeight="1">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row>
    <row r="239" ht="14.25" customHeight="1">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row>
    <row r="240" ht="14.25" customHeight="1">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row>
    <row r="241" ht="14.25" customHeight="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row>
    <row r="242" ht="14.25" customHeight="1">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row>
    <row r="243" ht="14.25" customHeight="1">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row>
    <row r="244" ht="14.25" customHeight="1">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row>
    <row r="245" ht="14.25" customHeight="1">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row>
    <row r="246" ht="14.25" customHeight="1">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row>
    <row r="247" ht="14.25" customHeight="1">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row>
    <row r="248" ht="14.25" customHeight="1">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row>
    <row r="249" ht="14.25" customHeight="1">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row>
    <row r="250" ht="14.25" customHeight="1">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row>
    <row r="251" ht="14.25" customHeight="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row>
    <row r="252" ht="14.25" customHeight="1">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row>
    <row r="253" ht="14.25" customHeight="1">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row>
    <row r="254" ht="14.25" customHeight="1">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row>
    <row r="255" ht="14.25" customHeight="1">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row>
    <row r="256" ht="14.25" customHeight="1">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row>
    <row r="257" ht="14.25" customHeight="1">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row>
    <row r="258" ht="14.25" customHeight="1">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row>
    <row r="259" ht="14.25" customHeight="1">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row>
    <row r="260" ht="14.25" customHeight="1">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row>
    <row r="261" ht="14.25" customHeight="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row>
    <row r="262" ht="14.25" customHeight="1">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row>
    <row r="263" ht="14.25" customHeight="1">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row>
    <row r="264" ht="14.25" customHeight="1">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row>
    <row r="265" ht="14.25" customHeight="1">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row>
    <row r="266" ht="14.25" customHeight="1">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row>
    <row r="267" ht="14.25" customHeight="1">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row>
    <row r="268" ht="14.25" customHeight="1">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row>
    <row r="269" ht="14.25" customHeight="1">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row>
    <row r="270" ht="14.25" customHeight="1">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row>
    <row r="271" ht="14.25" customHeight="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row>
    <row r="272" ht="14.25" customHeight="1">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row>
    <row r="273" ht="14.25" customHeight="1">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row>
    <row r="274" ht="14.25" customHeight="1">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row>
    <row r="275" ht="14.25" customHeight="1">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row>
    <row r="276" ht="14.25" customHeight="1">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row>
    <row r="277" ht="14.25" customHeight="1">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row>
    <row r="278" ht="14.25" customHeight="1">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row>
    <row r="279" ht="14.25" customHeight="1">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row>
    <row r="280" ht="14.25" customHeight="1">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row>
    <row r="281" ht="14.25" customHeight="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row>
    <row r="282" ht="14.25" customHeight="1">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row>
    <row r="283" ht="14.25" customHeight="1">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row>
    <row r="284" ht="14.25" customHeight="1">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row>
    <row r="285" ht="14.25" customHeight="1">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row>
    <row r="286" ht="14.25" customHeight="1">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row>
    <row r="287" ht="14.25" customHeight="1">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row>
    <row r="288" ht="14.25" customHeight="1">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row>
    <row r="289" ht="14.25" customHeight="1">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row>
    <row r="290" ht="14.25" customHeight="1">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row>
    <row r="291" ht="14.25" customHeight="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row>
    <row r="292" ht="14.25" customHeight="1">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row>
    <row r="293" ht="14.25" customHeight="1">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row>
    <row r="294" ht="14.25" customHeight="1">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row>
    <row r="295" ht="14.25" customHeight="1">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row>
    <row r="296" ht="14.25" customHeight="1">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row>
    <row r="297" ht="14.25" customHeight="1">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row>
    <row r="298" ht="14.25" customHeight="1">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row>
    <row r="299" ht="14.25" customHeight="1">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row>
    <row r="300" ht="14.25" customHeight="1">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row>
    <row r="301" ht="14.25" customHeight="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row>
    <row r="302" ht="14.25" customHeight="1">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row>
    <row r="303" ht="14.25" customHeight="1">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row>
    <row r="304" ht="14.25" customHeight="1">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row>
    <row r="305" ht="14.25" customHeight="1">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row>
    <row r="306" ht="14.25" customHeight="1">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row>
    <row r="307" ht="14.25" customHeight="1">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row>
    <row r="308" ht="14.25" customHeight="1">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row>
    <row r="309" ht="14.25" customHeight="1">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row>
    <row r="310" ht="14.25" customHeight="1">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row>
    <row r="311" ht="14.25" customHeight="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row>
    <row r="312" ht="14.25" customHeight="1">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row>
    <row r="313" ht="14.25" customHeight="1">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row>
    <row r="314" ht="14.25" customHeight="1">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row>
    <row r="315" ht="14.25" customHeight="1">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row>
    <row r="316" ht="14.25" customHeight="1">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row>
    <row r="317" ht="14.25" customHeight="1">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row>
    <row r="318" ht="14.25" customHeight="1">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row>
    <row r="319" ht="14.25" customHeight="1">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row>
    <row r="320" ht="14.25" customHeight="1">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row>
    <row r="321" ht="14.25" customHeight="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row>
    <row r="322" ht="14.25" customHeight="1">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row>
    <row r="323" ht="14.25" customHeight="1">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row>
    <row r="324" ht="14.25" customHeight="1">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row>
    <row r="325" ht="14.25" customHeight="1">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row>
    <row r="326" ht="14.25" customHeight="1">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row>
    <row r="327" ht="14.25" customHeight="1">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row>
    <row r="328" ht="14.25" customHeight="1">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row>
    <row r="329" ht="14.25" customHeight="1">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row>
    <row r="330" ht="14.25" customHeight="1">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row>
    <row r="331" ht="14.25" customHeight="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row>
    <row r="332" ht="14.25" customHeight="1">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row>
    <row r="333" ht="14.25" customHeight="1">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row>
    <row r="334" ht="14.25" customHeight="1">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row>
    <row r="335" ht="14.25" customHeight="1">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row>
    <row r="336" ht="14.25" customHeight="1">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row>
    <row r="337" ht="14.25" customHeight="1">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row>
    <row r="338" ht="14.25" customHeight="1">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row>
    <row r="339" ht="14.25" customHeight="1">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row>
    <row r="340" ht="14.25" customHeight="1">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row>
    <row r="341" ht="14.25" customHeight="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row>
    <row r="342" ht="14.25" customHeight="1">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row>
    <row r="343" ht="14.25" customHeight="1">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row>
    <row r="344" ht="14.25" customHeight="1">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row>
    <row r="345" ht="14.25" customHeight="1">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row>
    <row r="346" ht="14.25" customHeight="1">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row>
    <row r="347" ht="14.25" customHeight="1">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row>
    <row r="348" ht="14.25" customHeight="1">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row>
    <row r="349" ht="14.25" customHeight="1">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row>
    <row r="350" ht="14.25" customHeight="1">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row>
    <row r="351" ht="14.25" customHeight="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row>
    <row r="352" ht="14.25" customHeight="1">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row>
    <row r="353" ht="14.25" customHeight="1">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row>
    <row r="354" ht="14.25" customHeight="1">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row>
    <row r="355" ht="14.25" customHeight="1">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row>
    <row r="356" ht="14.25" customHeight="1">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row>
    <row r="357" ht="14.25" customHeight="1">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row>
    <row r="358" ht="14.25" customHeight="1">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row>
    <row r="359" ht="14.25" customHeight="1">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row>
    <row r="360" ht="14.25" customHeight="1">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row>
    <row r="361" ht="14.25" customHeight="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row>
    <row r="362" ht="14.25" customHeight="1">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row>
    <row r="363" ht="14.25" customHeight="1">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row>
    <row r="364" ht="14.25" customHeight="1">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row>
    <row r="365" ht="14.25" customHeight="1">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row>
    <row r="366" ht="14.25" customHeight="1">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row>
    <row r="367" ht="14.25" customHeight="1">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row>
    <row r="368" ht="14.25" customHeight="1">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row>
    <row r="369" ht="14.25" customHeight="1">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row>
    <row r="370" ht="14.25" customHeight="1">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row>
    <row r="371" ht="14.25" customHeight="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row>
    <row r="372" ht="14.25" customHeight="1">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row>
    <row r="373" ht="14.25" customHeight="1">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row>
    <row r="374" ht="14.25" customHeight="1">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row>
    <row r="375" ht="14.25" customHeight="1">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row>
    <row r="376" ht="14.25" customHeight="1">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row>
    <row r="377" ht="14.25" customHeight="1">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row>
    <row r="378" ht="14.25" customHeight="1">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row>
    <row r="379" ht="14.25" customHeight="1">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row>
    <row r="380" ht="14.25" customHeight="1">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row>
    <row r="381" ht="14.25" customHeight="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row>
    <row r="382" ht="14.25" customHeight="1">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row>
    <row r="383" ht="14.25" customHeight="1">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row>
    <row r="384" ht="14.25" customHeight="1">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row>
    <row r="385" ht="14.25" customHeight="1">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row>
    <row r="386" ht="14.25" customHeight="1">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row>
    <row r="387" ht="14.25" customHeight="1">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row>
    <row r="388" ht="14.25" customHeight="1">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row>
    <row r="389" ht="14.25" customHeight="1">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row>
    <row r="390" ht="14.25" customHeight="1">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row>
    <row r="391" ht="14.25" customHeight="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row>
    <row r="392" ht="14.25" customHeight="1">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row>
    <row r="393" ht="14.25" customHeight="1">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row>
    <row r="394" ht="14.25" customHeight="1">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row>
    <row r="395" ht="14.25" customHeight="1">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row>
    <row r="396" ht="14.25" customHeight="1">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row>
    <row r="397" ht="14.25" customHeight="1">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row>
    <row r="398" ht="14.25" customHeight="1">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row>
    <row r="399" ht="14.25" customHeight="1">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row>
    <row r="400" ht="14.25" customHeight="1">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row>
    <row r="401" ht="14.25" customHeight="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row>
    <row r="402" ht="14.25" customHeight="1">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row>
    <row r="403" ht="14.25" customHeight="1">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row>
    <row r="404" ht="14.25" customHeight="1">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row>
    <row r="405" ht="14.25" customHeight="1">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row>
    <row r="406" ht="14.25" customHeight="1">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row>
    <row r="407" ht="14.25" customHeight="1">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row>
    <row r="408" ht="14.25" customHeight="1">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row>
    <row r="409" ht="14.25" customHeight="1">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row>
    <row r="410" ht="14.25" customHeight="1">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row>
    <row r="411" ht="14.25" customHeight="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row>
    <row r="412" ht="14.25" customHeight="1">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row>
    <row r="413" ht="14.25" customHeight="1">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row>
    <row r="414" ht="14.25" customHeight="1">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row>
    <row r="415" ht="14.25" customHeight="1">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row>
    <row r="416" ht="14.25" customHeight="1">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row>
    <row r="417" ht="14.25" customHeight="1">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row>
    <row r="418" ht="14.25" customHeight="1">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row>
    <row r="419" ht="14.25" customHeight="1">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row>
    <row r="420" ht="14.25" customHeight="1">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row>
    <row r="421" ht="14.25" customHeight="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row>
    <row r="422" ht="14.25" customHeight="1">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row>
    <row r="423" ht="14.25" customHeight="1">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row>
    <row r="424" ht="14.25" customHeight="1">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row>
    <row r="425" ht="14.25" customHeight="1">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row>
    <row r="426" ht="14.25" customHeight="1">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row>
    <row r="427" ht="14.25" customHeight="1">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row>
    <row r="428" ht="14.25" customHeight="1">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row>
    <row r="429" ht="14.25" customHeight="1">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row>
    <row r="430" ht="14.25" customHeight="1">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row>
    <row r="431" ht="14.25" customHeight="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row>
    <row r="432" ht="14.25" customHeight="1">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row>
    <row r="433" ht="14.25" customHeight="1">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row>
    <row r="434" ht="14.25" customHeight="1">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row>
    <row r="435" ht="14.25" customHeight="1">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row>
    <row r="436" ht="14.25" customHeight="1">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row>
    <row r="437" ht="14.25" customHeight="1">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row>
    <row r="438" ht="14.25" customHeight="1">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row>
    <row r="439" ht="14.25" customHeight="1">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row>
    <row r="440" ht="14.25" customHeight="1">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row>
    <row r="441" ht="14.25" customHeight="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row>
    <row r="442" ht="14.25" customHeight="1">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row>
    <row r="443" ht="14.25" customHeight="1">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row>
    <row r="444" ht="14.25" customHeight="1">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row>
    <row r="445" ht="14.25" customHeight="1">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row>
    <row r="446" ht="14.25" customHeight="1">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row>
    <row r="447" ht="14.25" customHeight="1">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row>
    <row r="448" ht="14.25" customHeight="1">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row>
    <row r="449" ht="14.25" customHeight="1">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row>
    <row r="450" ht="14.25" customHeight="1">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row>
    <row r="451" ht="14.25" customHeight="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row>
    <row r="452" ht="14.25" customHeight="1">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row>
    <row r="453" ht="14.25" customHeight="1">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row>
    <row r="454" ht="14.25" customHeight="1">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row>
    <row r="455" ht="14.25" customHeight="1">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row>
    <row r="456" ht="14.25" customHeight="1">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row>
    <row r="457" ht="14.25" customHeight="1">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row>
    <row r="458" ht="14.25" customHeight="1">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row>
    <row r="459" ht="14.25" customHeight="1">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row>
    <row r="460" ht="14.25" customHeight="1">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row>
    <row r="461" ht="14.25" customHeight="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row>
    <row r="462" ht="14.25" customHeight="1">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row>
    <row r="463" ht="14.25" customHeight="1">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row>
    <row r="464" ht="14.25" customHeight="1">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row>
    <row r="465" ht="14.25" customHeight="1">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row>
    <row r="466" ht="14.25" customHeight="1">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row>
    <row r="467" ht="14.25" customHeight="1">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row>
    <row r="468" ht="14.25" customHeight="1">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row>
    <row r="469" ht="14.25" customHeight="1">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row>
    <row r="470" ht="14.25" customHeight="1">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row>
    <row r="471" ht="14.25" customHeight="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row>
    <row r="472" ht="14.25" customHeight="1">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row>
    <row r="473" ht="14.25" customHeight="1">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row>
    <row r="474" ht="14.25" customHeight="1">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row>
    <row r="475" ht="14.25" customHeight="1">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row>
    <row r="476" ht="14.25" customHeight="1">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row>
    <row r="477" ht="14.25" customHeight="1">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row>
    <row r="478" ht="14.25" customHeight="1">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row>
    <row r="479" ht="14.25" customHeight="1">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row>
    <row r="480" ht="14.25" customHeight="1">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row>
    <row r="481" ht="14.25" customHeight="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row>
    <row r="482" ht="14.25" customHeight="1">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row>
    <row r="483" ht="14.25" customHeight="1">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row>
    <row r="484" ht="14.25" customHeight="1">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row>
    <row r="485" ht="14.25" customHeight="1">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row>
    <row r="486" ht="14.25" customHeight="1">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row>
    <row r="487" ht="14.25" customHeight="1">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row>
    <row r="488" ht="14.25" customHeight="1">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row>
    <row r="489" ht="14.25" customHeight="1">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row>
    <row r="490" ht="14.25" customHeight="1">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row>
    <row r="491" ht="14.25" customHeight="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row>
    <row r="492" ht="14.25" customHeight="1">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row>
    <row r="493" ht="14.25" customHeight="1">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row>
    <row r="494" ht="14.25" customHeight="1">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row>
    <row r="495" ht="14.25" customHeight="1">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row>
    <row r="496" ht="14.25" customHeight="1">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row>
    <row r="497" ht="14.25" customHeight="1">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row>
    <row r="498" ht="14.25" customHeight="1">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row>
    <row r="499" ht="14.25" customHeight="1">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row>
    <row r="500" ht="14.25" customHeight="1">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row>
    <row r="501" ht="14.25" customHeight="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row>
    <row r="502" ht="14.25" customHeight="1">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row>
    <row r="503" ht="14.25" customHeight="1">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row>
    <row r="504" ht="14.25" customHeight="1">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row>
    <row r="505" ht="14.25" customHeight="1">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row>
    <row r="506" ht="14.25" customHeight="1">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row>
    <row r="507" ht="14.25" customHeight="1">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row>
    <row r="508" ht="14.25" customHeight="1">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row>
    <row r="509" ht="14.25" customHeight="1">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row>
    <row r="510" ht="14.25" customHeight="1">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row>
    <row r="511" ht="14.25" customHeight="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row>
    <row r="512" ht="14.25" customHeight="1">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row>
    <row r="513" ht="14.25" customHeight="1">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row>
    <row r="514" ht="14.25" customHeight="1">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row>
    <row r="515" ht="14.25" customHeight="1">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row>
    <row r="516" ht="14.25" customHeight="1">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row>
    <row r="517" ht="14.25" customHeight="1">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row>
    <row r="518" ht="14.25" customHeight="1">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row>
    <row r="519" ht="14.25" customHeight="1">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row>
    <row r="520" ht="14.25" customHeight="1">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row>
    <row r="521" ht="14.25" customHeight="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row>
    <row r="522" ht="14.25" customHeight="1">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row>
    <row r="523" ht="14.25" customHeight="1">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row>
    <row r="524" ht="14.25" customHeight="1">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row>
    <row r="525" ht="14.25" customHeight="1">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row>
    <row r="526" ht="14.25" customHeight="1">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row>
    <row r="527" ht="14.25" customHeight="1">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row>
    <row r="528" ht="14.25" customHeight="1">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row>
    <row r="529" ht="14.25" customHeight="1">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row>
    <row r="530" ht="14.25" customHeight="1">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row>
    <row r="531" ht="14.25" customHeight="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row>
    <row r="532" ht="14.25" customHeight="1">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row>
    <row r="533" ht="14.25" customHeight="1">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row>
    <row r="534" ht="14.25" customHeight="1">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row>
    <row r="535" ht="14.25" customHeight="1">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row>
    <row r="536" ht="14.25" customHeight="1">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row>
    <row r="537" ht="14.25" customHeight="1">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row>
    <row r="538" ht="14.25" customHeight="1">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row>
    <row r="539" ht="14.25" customHeight="1">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row>
    <row r="540" ht="14.25" customHeight="1">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row>
    <row r="541" ht="14.25" customHeight="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row>
    <row r="542" ht="14.25" customHeight="1">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row>
    <row r="543" ht="14.25" customHeight="1">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row>
    <row r="544" ht="14.25" customHeight="1">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row>
    <row r="545" ht="14.25" customHeight="1">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row>
    <row r="546" ht="14.25" customHeight="1">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row>
    <row r="547" ht="14.25" customHeight="1">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row>
    <row r="548" ht="14.25" customHeight="1">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row>
    <row r="549" ht="14.25" customHeight="1">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row>
    <row r="550" ht="14.25" customHeight="1">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row>
    <row r="551" ht="14.25" customHeight="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row>
    <row r="552" ht="14.25" customHeight="1">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row>
    <row r="553" ht="14.25" customHeight="1">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row>
    <row r="554" ht="14.25" customHeight="1">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row>
    <row r="555" ht="14.25" customHeight="1">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row>
    <row r="556" ht="14.25" customHeight="1">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row>
    <row r="557" ht="14.25" customHeight="1">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row>
    <row r="558" ht="14.25" customHeight="1">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row>
    <row r="559" ht="14.25" customHeight="1">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row>
    <row r="560" ht="14.25" customHeight="1">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row>
    <row r="561" ht="14.25" customHeight="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row>
    <row r="562" ht="14.25" customHeight="1">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row>
    <row r="563" ht="14.25" customHeight="1">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row>
    <row r="564" ht="14.25" customHeight="1">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row>
    <row r="565" ht="14.25" customHeight="1">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row>
    <row r="566" ht="14.25" customHeight="1">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row>
    <row r="567" ht="14.25" customHeight="1">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row>
    <row r="568" ht="14.25" customHeight="1">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row>
    <row r="569" ht="14.25" customHeight="1">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row>
    <row r="570" ht="14.25" customHeight="1">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row>
    <row r="571" ht="14.25" customHeight="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row>
    <row r="572" ht="14.25" customHeight="1">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row>
    <row r="573" ht="14.25" customHeight="1">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row>
    <row r="574" ht="14.25" customHeight="1">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row>
    <row r="575" ht="14.25" customHeight="1">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row>
    <row r="576" ht="14.25" customHeight="1">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row>
    <row r="577" ht="14.25" customHeight="1">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row>
    <row r="578" ht="14.25" customHeight="1">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row>
    <row r="579" ht="14.25" customHeight="1">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row>
    <row r="580" ht="14.25" customHeight="1">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row>
    <row r="581" ht="14.25" customHeight="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row>
    <row r="582" ht="14.25" customHeight="1">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row>
    <row r="583" ht="14.25" customHeight="1">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row>
    <row r="584" ht="14.25" customHeight="1">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row>
    <row r="585" ht="14.25" customHeight="1">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row>
    <row r="586" ht="14.25" customHeight="1">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row>
    <row r="587" ht="14.25" customHeight="1">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row>
    <row r="588" ht="14.25" customHeight="1">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row>
    <row r="589" ht="14.25" customHeight="1">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row>
    <row r="590" ht="14.25" customHeight="1">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row>
    <row r="591" ht="14.25" customHeight="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row>
    <row r="592" ht="14.25" customHeight="1">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row>
    <row r="593" ht="14.25" customHeight="1">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row>
    <row r="594" ht="14.25" customHeight="1">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row>
    <row r="595" ht="14.25" customHeight="1">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row>
    <row r="596" ht="14.25" customHeight="1">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row>
    <row r="597" ht="14.25" customHeight="1">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row>
    <row r="598" ht="14.25" customHeight="1">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row>
    <row r="599" ht="14.25" customHeight="1">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row>
    <row r="600" ht="14.25" customHeight="1">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row>
    <row r="601" ht="14.25" customHeight="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row>
    <row r="602" ht="14.25" customHeight="1">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row>
    <row r="603" ht="14.25" customHeight="1">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row>
    <row r="604" ht="14.25" customHeight="1">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row>
    <row r="605" ht="14.25" customHeight="1">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row>
    <row r="606" ht="14.25" customHeight="1">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row>
    <row r="607" ht="14.25" customHeight="1">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row>
    <row r="608" ht="14.25" customHeight="1">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row>
    <row r="609" ht="14.25" customHeight="1">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row>
    <row r="610" ht="14.25" customHeight="1">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row>
    <row r="611" ht="14.25" customHeight="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row>
    <row r="612" ht="14.25" customHeight="1">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row>
    <row r="613" ht="14.25" customHeight="1">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row>
    <row r="614" ht="14.25" customHeight="1">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row>
    <row r="615" ht="14.25" customHeight="1">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row>
    <row r="616" ht="14.25" customHeight="1">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row>
    <row r="617" ht="14.25" customHeight="1">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row>
    <row r="618" ht="14.25" customHeight="1">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row>
    <row r="619" ht="14.25" customHeight="1">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row>
    <row r="620" ht="14.25" customHeight="1">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row>
    <row r="621" ht="14.25" customHeight="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row>
    <row r="622" ht="14.25" customHeight="1">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row>
    <row r="623" ht="14.25" customHeight="1">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row>
    <row r="624" ht="14.25" customHeight="1">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row>
    <row r="625" ht="14.25" customHeight="1">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row>
    <row r="626" ht="14.25" customHeight="1">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row>
    <row r="627" ht="14.25" customHeight="1">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row>
    <row r="628" ht="14.25" customHeight="1">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row>
    <row r="629" ht="14.25" customHeight="1">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row>
    <row r="630" ht="14.25" customHeight="1">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row>
    <row r="631" ht="14.25" customHeight="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row>
    <row r="632" ht="14.25" customHeight="1">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row>
    <row r="633" ht="14.25" customHeight="1">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row>
    <row r="634" ht="14.25" customHeight="1">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row>
    <row r="635" ht="14.25" customHeight="1">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row>
    <row r="636" ht="14.25" customHeight="1">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row>
    <row r="637" ht="14.25" customHeight="1">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row>
    <row r="638" ht="14.25" customHeight="1">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row>
    <row r="639" ht="14.25" customHeight="1">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row>
    <row r="640" ht="14.25" customHeight="1">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row>
    <row r="641" ht="14.25" customHeight="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row>
    <row r="642" ht="14.25" customHeight="1">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row>
    <row r="643" ht="14.25" customHeight="1">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row>
    <row r="644" ht="14.25" customHeight="1">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row>
    <row r="645" ht="14.25" customHeight="1">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row>
    <row r="646" ht="14.25" customHeight="1">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row>
    <row r="647" ht="14.25" customHeight="1">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row>
    <row r="648" ht="14.25" customHeight="1">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row>
    <row r="649" ht="14.25" customHeight="1">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row>
    <row r="650" ht="14.25" customHeight="1">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row>
    <row r="651" ht="14.25" customHeight="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row>
    <row r="652" ht="14.25" customHeight="1">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row>
    <row r="653" ht="14.25" customHeight="1">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row>
    <row r="654" ht="14.25" customHeight="1">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row>
    <row r="655" ht="14.25" customHeight="1">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row>
    <row r="656" ht="14.25" customHeight="1">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row>
    <row r="657" ht="14.25" customHeight="1">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row>
    <row r="658" ht="14.25" customHeight="1">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row>
    <row r="659" ht="14.25" customHeight="1">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row>
    <row r="660" ht="14.25" customHeight="1">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row>
    <row r="661" ht="14.25" customHeight="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row>
    <row r="662" ht="14.25" customHeight="1">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row>
    <row r="663" ht="14.25" customHeight="1">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row>
    <row r="664" ht="14.25" customHeight="1">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row>
    <row r="665" ht="14.25" customHeight="1">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row>
    <row r="666" ht="14.25" customHeight="1">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row>
    <row r="667" ht="14.25" customHeight="1">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row>
    <row r="668" ht="14.25" customHeight="1">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row>
    <row r="669" ht="14.25" customHeight="1">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row>
    <row r="670" ht="14.25" customHeight="1">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row>
    <row r="671" ht="14.25" customHeight="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row>
    <row r="672" ht="14.25" customHeight="1">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row>
    <row r="673" ht="14.25" customHeight="1">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row>
    <row r="674" ht="14.25" customHeight="1">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row>
    <row r="675" ht="14.25" customHeight="1">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row>
    <row r="676" ht="14.25" customHeight="1">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row>
    <row r="677" ht="14.25" customHeight="1">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row>
    <row r="678" ht="14.25" customHeight="1">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row>
    <row r="679" ht="14.25" customHeight="1">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row>
    <row r="680" ht="14.25" customHeight="1">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row>
    <row r="681" ht="14.25" customHeight="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row>
    <row r="682" ht="14.25" customHeight="1">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row>
    <row r="683" ht="14.25" customHeight="1">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row>
    <row r="684" ht="14.25" customHeight="1">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row>
    <row r="685" ht="14.25" customHeight="1">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row>
    <row r="686" ht="14.25" customHeight="1">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row>
    <row r="687" ht="14.25" customHeight="1">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row>
    <row r="688" ht="14.25" customHeight="1">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row>
    <row r="689" ht="14.25" customHeight="1">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row>
    <row r="690" ht="14.25" customHeight="1">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row>
    <row r="691" ht="14.25" customHeight="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row>
    <row r="692" ht="14.25" customHeight="1">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row>
    <row r="693" ht="14.25" customHeight="1">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row>
    <row r="694" ht="14.25" customHeight="1">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row>
    <row r="695" ht="14.25" customHeight="1">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row>
    <row r="696" ht="14.25" customHeight="1">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row>
    <row r="697" ht="14.25" customHeight="1">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row>
    <row r="698" ht="14.25" customHeight="1">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row>
    <row r="699" ht="14.25" customHeight="1">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row>
    <row r="700" ht="14.25" customHeight="1">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row>
    <row r="701" ht="14.25" customHeight="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row>
    <row r="702" ht="14.25" customHeight="1">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row>
    <row r="703" ht="14.25" customHeight="1">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row>
    <row r="704" ht="14.25" customHeight="1">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row>
    <row r="705" ht="14.25" customHeight="1">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row>
    <row r="706" ht="14.25" customHeight="1">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row>
    <row r="707" ht="14.25" customHeight="1">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row>
    <row r="708" ht="14.25" customHeight="1">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row>
    <row r="709" ht="14.25" customHeight="1">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row>
    <row r="710" ht="14.25" customHeight="1">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row>
    <row r="711" ht="14.25" customHeight="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row>
    <row r="712" ht="14.25" customHeight="1">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row>
    <row r="713" ht="14.25" customHeight="1">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row>
    <row r="714" ht="14.25" customHeight="1">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row>
    <row r="715" ht="14.25" customHeight="1">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row>
    <row r="716" ht="14.25" customHeight="1">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row>
    <row r="717" ht="14.25" customHeight="1">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row>
    <row r="718" ht="14.25" customHeight="1">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row>
    <row r="719" ht="14.25" customHeight="1">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row>
    <row r="720" ht="14.25" customHeight="1">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row>
    <row r="721" ht="14.25" customHeight="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row>
    <row r="722" ht="14.25" customHeight="1">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row>
    <row r="723" ht="14.25" customHeight="1">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row>
    <row r="724" ht="14.25" customHeight="1">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row>
    <row r="725" ht="14.25" customHeight="1">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row>
    <row r="726" ht="14.25" customHeight="1">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row>
    <row r="727" ht="14.25" customHeight="1">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row>
    <row r="728" ht="14.25" customHeight="1">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row>
    <row r="729" ht="14.25" customHeight="1">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row>
    <row r="730" ht="14.25" customHeight="1">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row>
    <row r="731" ht="14.25" customHeight="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row>
    <row r="732" ht="14.25" customHeight="1">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row>
    <row r="733" ht="14.25" customHeight="1">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row>
    <row r="734" ht="14.25" customHeight="1">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row>
    <row r="735" ht="14.25" customHeight="1">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row>
    <row r="736" ht="14.25" customHeight="1">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row>
    <row r="737" ht="14.25" customHeight="1">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row>
    <row r="738" ht="14.25" customHeight="1">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row>
    <row r="739" ht="14.25" customHeight="1">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row>
    <row r="740" ht="14.25" customHeight="1">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row>
    <row r="741" ht="14.25" customHeight="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row>
    <row r="742" ht="14.25" customHeight="1">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row>
    <row r="743" ht="14.25" customHeight="1">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row>
    <row r="744" ht="14.25" customHeight="1">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row>
    <row r="745" ht="14.25" customHeight="1">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row>
    <row r="746" ht="14.25" customHeight="1">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row>
    <row r="747" ht="14.25" customHeight="1">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row>
    <row r="748" ht="14.25" customHeight="1">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row>
    <row r="749" ht="14.25" customHeight="1">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row>
    <row r="750" ht="14.25" customHeight="1">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row>
    <row r="751" ht="14.25" customHeight="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row>
    <row r="752" ht="14.25" customHeight="1">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row>
    <row r="753" ht="14.25" customHeight="1">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row>
    <row r="754" ht="14.25" customHeight="1">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row>
    <row r="755" ht="14.25" customHeight="1">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row>
    <row r="756" ht="14.25" customHeight="1">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row>
    <row r="757" ht="14.25" customHeight="1">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row>
    <row r="758" ht="14.25" customHeight="1">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row>
    <row r="759" ht="14.25" customHeight="1">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row>
    <row r="760" ht="14.25" customHeight="1">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row>
    <row r="761" ht="14.25" customHeight="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row>
    <row r="762" ht="14.25" customHeight="1">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row>
    <row r="763" ht="14.25" customHeight="1">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row>
    <row r="764" ht="14.25" customHeight="1">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row>
    <row r="765" ht="14.25" customHeight="1">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row>
    <row r="766" ht="14.25" customHeight="1">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row>
    <row r="767" ht="14.25" customHeight="1">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row>
    <row r="768" ht="14.25" customHeight="1">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row>
    <row r="769" ht="14.25" customHeight="1">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row>
    <row r="770" ht="14.25" customHeight="1">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row>
    <row r="771" ht="14.25" customHeight="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row>
    <row r="772" ht="14.25" customHeight="1">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row>
    <row r="773" ht="14.25" customHeight="1">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row>
    <row r="774" ht="14.25" customHeight="1">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row>
    <row r="775" ht="14.25" customHeight="1">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row>
    <row r="776" ht="14.25" customHeight="1">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row>
    <row r="777" ht="14.25" customHeight="1">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row>
    <row r="778" ht="14.25" customHeight="1">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row>
    <row r="779" ht="14.25" customHeight="1">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row>
    <row r="780" ht="14.25" customHeight="1">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row>
    <row r="781" ht="14.25" customHeight="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row>
    <row r="782" ht="14.25" customHeight="1">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row>
    <row r="783" ht="14.25" customHeight="1">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row>
    <row r="784" ht="14.25" customHeight="1">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row>
    <row r="785" ht="14.25" customHeight="1">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row>
    <row r="786" ht="14.25" customHeight="1">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row>
    <row r="787" ht="14.25" customHeight="1">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row>
    <row r="788" ht="14.25" customHeight="1">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row>
    <row r="789" ht="14.25" customHeight="1">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row>
    <row r="790" ht="14.25" customHeight="1">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row>
    <row r="791" ht="14.25" customHeight="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row>
    <row r="792" ht="14.25" customHeight="1">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row>
    <row r="793" ht="14.25" customHeight="1">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row>
    <row r="794" ht="14.25" customHeight="1">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row>
    <row r="795" ht="14.25" customHeight="1">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row>
    <row r="796" ht="14.25" customHeight="1">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row>
    <row r="797" ht="14.25" customHeight="1">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row>
    <row r="798" ht="14.25" customHeight="1">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row>
    <row r="799" ht="14.25" customHeight="1">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row>
    <row r="800" ht="14.25" customHeight="1">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row>
    <row r="801" ht="14.25" customHeight="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row>
    <row r="802" ht="14.25" customHeight="1">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row>
    <row r="803" ht="14.25" customHeight="1">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row>
    <row r="804" ht="14.25" customHeight="1">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row>
    <row r="805" ht="14.25" customHeight="1">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row>
    <row r="806" ht="14.25" customHeight="1">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row>
    <row r="807" ht="14.25" customHeight="1">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row>
    <row r="808" ht="14.25" customHeight="1">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row>
    <row r="809" ht="14.25" customHeight="1">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row>
    <row r="810" ht="14.25" customHeight="1">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row>
    <row r="811" ht="14.25" customHeight="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row>
    <row r="812" ht="14.25" customHeight="1">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row>
    <row r="813" ht="14.25" customHeight="1">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row>
    <row r="814" ht="14.25" customHeight="1">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row>
    <row r="815" ht="14.25" customHeight="1">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row>
    <row r="816" ht="14.25" customHeight="1">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row>
    <row r="817" ht="14.25" customHeight="1">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row>
    <row r="818" ht="14.25" customHeight="1">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row>
    <row r="819" ht="14.25" customHeight="1">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row>
    <row r="820" ht="14.25" customHeight="1">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row>
    <row r="821" ht="14.25" customHeight="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row>
    <row r="822" ht="14.25" customHeight="1">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row>
    <row r="823" ht="14.25" customHeight="1">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row>
    <row r="824" ht="14.25" customHeight="1">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row>
    <row r="825" ht="14.25" customHeight="1">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row>
    <row r="826" ht="14.25" customHeight="1">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row>
    <row r="827" ht="14.25" customHeight="1">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row>
    <row r="828" ht="14.25" customHeight="1">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row>
    <row r="829" ht="14.25" customHeight="1">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row>
    <row r="830" ht="14.25" customHeight="1">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row>
    <row r="831" ht="14.25" customHeight="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row>
    <row r="832" ht="14.25" customHeight="1">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row>
    <row r="833" ht="14.25" customHeight="1">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row>
    <row r="834" ht="14.25" customHeight="1">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row>
    <row r="835" ht="14.25" customHeight="1">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row>
    <row r="836" ht="14.25" customHeight="1">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row>
    <row r="837" ht="14.25" customHeight="1">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row>
    <row r="838" ht="14.25" customHeight="1">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row>
    <row r="839" ht="14.25" customHeight="1">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row>
    <row r="840" ht="14.25" customHeight="1">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row>
    <row r="841" ht="14.25" customHeight="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row>
    <row r="842" ht="14.25" customHeight="1">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row>
    <row r="843" ht="14.25" customHeight="1">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row>
    <row r="844" ht="14.25" customHeight="1">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row>
    <row r="845" ht="14.25" customHeight="1">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row>
    <row r="846" ht="14.25" customHeight="1">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row>
    <row r="847" ht="14.25" customHeight="1">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row>
    <row r="848" ht="14.25" customHeight="1">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row>
    <row r="849" ht="14.25" customHeight="1">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row>
    <row r="850" ht="14.25" customHeight="1">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row>
    <row r="851" ht="14.25" customHeight="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row>
    <row r="852" ht="14.25" customHeight="1">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row>
    <row r="853" ht="14.25" customHeight="1">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row>
    <row r="854" ht="14.25" customHeight="1">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row>
    <row r="855" ht="14.25" customHeight="1">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row>
    <row r="856" ht="14.25" customHeight="1">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row>
    <row r="857" ht="14.25" customHeight="1">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row>
    <row r="858" ht="14.25" customHeight="1">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row>
    <row r="859" ht="14.25" customHeight="1">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row>
    <row r="860" ht="14.25" customHeight="1">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row>
    <row r="861" ht="14.25" customHeight="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row>
    <row r="862" ht="14.25" customHeight="1">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row>
    <row r="863" ht="14.25" customHeight="1">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row>
    <row r="864" ht="14.25" customHeight="1">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row>
    <row r="865" ht="14.25" customHeight="1">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row>
    <row r="866" ht="14.25" customHeight="1">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row>
    <row r="867" ht="14.25" customHeight="1">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row>
    <row r="868" ht="14.25" customHeight="1">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row>
    <row r="869" ht="14.25" customHeight="1">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row>
    <row r="870" ht="14.25" customHeight="1">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row>
    <row r="871" ht="14.25" customHeight="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row>
    <row r="872" ht="14.25" customHeight="1">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row>
    <row r="873" ht="14.25" customHeight="1">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row>
    <row r="874" ht="14.25" customHeight="1">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row>
    <row r="875" ht="14.25" customHeight="1">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row>
    <row r="876" ht="14.25" customHeight="1">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row>
    <row r="877" ht="14.25" customHeight="1">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row>
    <row r="878" ht="14.25" customHeight="1">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row>
    <row r="879" ht="14.25" customHeight="1">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row>
    <row r="880" ht="14.25" customHeight="1">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row>
    <row r="881" ht="14.25" customHeight="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row>
    <row r="882" ht="14.25" customHeight="1">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row>
    <row r="883" ht="14.25" customHeight="1">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row>
    <row r="884" ht="14.25" customHeight="1">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row>
    <row r="885" ht="14.25" customHeight="1">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row>
    <row r="886" ht="14.25" customHeight="1">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row>
    <row r="887" ht="14.25" customHeight="1">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row>
    <row r="888" ht="14.25" customHeight="1">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row>
    <row r="889" ht="14.25" customHeight="1">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row>
    <row r="890" ht="14.25" customHeight="1">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row>
    <row r="891" ht="14.25" customHeight="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row>
    <row r="892" ht="14.25" customHeight="1">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row>
    <row r="893" ht="14.25" customHeight="1">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row>
    <row r="894" ht="14.25" customHeight="1">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row>
    <row r="895" ht="14.25" customHeight="1">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row>
    <row r="896" ht="14.25" customHeight="1">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row>
    <row r="897" ht="14.25" customHeight="1">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row>
    <row r="898" ht="14.25" customHeight="1">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row>
    <row r="899" ht="14.25" customHeight="1">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row>
    <row r="900" ht="14.25" customHeight="1">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row>
    <row r="901" ht="14.25" customHeight="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row>
    <row r="902" ht="14.25" customHeight="1">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row>
    <row r="903" ht="14.25" customHeight="1">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row>
    <row r="904" ht="14.25" customHeight="1">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row>
    <row r="905" ht="14.25" customHeight="1">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row>
    <row r="906" ht="14.25" customHeight="1">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row>
    <row r="907" ht="14.25" customHeight="1">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row>
    <row r="908" ht="14.25" customHeight="1">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row>
    <row r="909" ht="14.25" customHeight="1">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row>
    <row r="910" ht="14.25" customHeight="1">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row>
    <row r="911" ht="14.25" customHeight="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row>
    <row r="912" ht="14.25" customHeight="1">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row>
    <row r="913" ht="14.25" customHeight="1">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row>
    <row r="914" ht="14.25" customHeight="1">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row>
    <row r="915" ht="14.25" customHeight="1">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row>
    <row r="916" ht="14.25" customHeight="1">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row>
    <row r="917" ht="14.25" customHeight="1">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row>
    <row r="918" ht="14.25" customHeight="1">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row>
    <row r="919" ht="14.25" customHeight="1">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row>
    <row r="920" ht="14.25" customHeight="1">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row>
    <row r="921" ht="14.25" customHeight="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row>
    <row r="922" ht="14.25" customHeight="1">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row>
    <row r="923" ht="14.25" customHeight="1">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row>
    <row r="924" ht="14.25" customHeight="1">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row>
    <row r="925" ht="14.25" customHeight="1">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row>
    <row r="926" ht="14.25" customHeight="1">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row>
    <row r="927" ht="14.25" customHeight="1">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row>
    <row r="928" ht="14.25" customHeight="1">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row>
    <row r="929" ht="14.25" customHeight="1">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row>
    <row r="930" ht="14.25" customHeight="1">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row>
    <row r="931" ht="14.25" customHeight="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row>
    <row r="932" ht="14.25" customHeight="1">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row>
    <row r="933" ht="14.25" customHeight="1">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row>
    <row r="934" ht="14.25" customHeight="1">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row>
    <row r="935" ht="14.25" customHeight="1">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row>
    <row r="936" ht="14.25" customHeight="1">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row>
    <row r="937" ht="14.25" customHeight="1">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row>
    <row r="938" ht="14.25" customHeight="1">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row>
    <row r="939" ht="14.25" customHeight="1">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row>
    <row r="940" ht="14.25" customHeight="1">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row>
    <row r="941" ht="14.25" customHeight="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row>
    <row r="942" ht="14.25" customHeight="1">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row>
    <row r="943" ht="14.25" customHeight="1">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row>
    <row r="944" ht="14.25" customHeight="1">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row>
    <row r="945" ht="14.25" customHeight="1">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row>
    <row r="946" ht="14.25" customHeight="1">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row>
    <row r="947" ht="14.25" customHeight="1">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row>
    <row r="948" ht="14.25" customHeight="1">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row>
    <row r="949" ht="14.25" customHeight="1">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row>
    <row r="950" ht="14.25" customHeight="1">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row>
    <row r="951" ht="14.25" customHeight="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row>
    <row r="952" ht="14.25" customHeight="1">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row>
    <row r="953" ht="14.25" customHeight="1">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row>
    <row r="954" ht="14.25" customHeight="1">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row>
    <row r="955" ht="14.25" customHeight="1">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row>
    <row r="956" ht="14.25" customHeight="1">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row>
    <row r="957" ht="14.25" customHeight="1">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row>
    <row r="958" ht="14.25" customHeight="1">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row>
    <row r="959" ht="14.25" customHeight="1">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row>
    <row r="960" ht="14.25" customHeight="1">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row>
    <row r="961" ht="14.25" customHeight="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row>
    <row r="962" ht="14.25" customHeight="1">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row>
    <row r="963" ht="14.25" customHeight="1">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row>
    <row r="964" ht="14.25" customHeight="1">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row>
    <row r="965" ht="14.25" customHeight="1">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row>
    <row r="966" ht="14.25" customHeight="1">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row>
    <row r="967" ht="14.25" customHeight="1">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row>
    <row r="968" ht="14.25" customHeight="1">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row>
    <row r="969" ht="14.25" customHeight="1">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row>
    <row r="970" ht="14.25" customHeight="1">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row>
    <row r="971" ht="14.25" customHeight="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row>
    <row r="972" ht="14.25" customHeight="1">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row>
    <row r="973" ht="14.25" customHeight="1">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row>
    <row r="974" ht="14.25" customHeight="1">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row>
    <row r="975" ht="14.25" customHeight="1">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row>
    <row r="976" ht="14.25" customHeight="1">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row>
    <row r="977" ht="14.25" customHeight="1">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row>
    <row r="978" ht="14.25" customHeight="1">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row>
    <row r="979" ht="14.25" customHeight="1">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row>
    <row r="980" ht="14.25" customHeight="1">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row>
    <row r="981" ht="14.25" customHeight="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row>
    <row r="982" ht="14.25" customHeight="1">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row>
    <row r="983" ht="14.25" customHeight="1">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row>
    <row r="984" ht="14.25" customHeight="1">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row>
    <row r="985" ht="14.25" customHeight="1">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row>
    <row r="986" ht="14.25" customHeight="1">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row>
    <row r="987" ht="14.25" customHeight="1">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row>
    <row r="988" ht="14.25" customHeight="1">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row>
    <row r="989" ht="14.25" customHeight="1">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row>
    <row r="990" ht="14.25" customHeight="1">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row>
    <row r="991" ht="14.25" customHeight="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row>
    <row r="992" ht="14.25" customHeight="1">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row>
    <row r="993" ht="14.25" customHeight="1">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row>
    <row r="994" ht="14.25" customHeight="1">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row>
    <row r="995" ht="14.25" customHeight="1">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row>
    <row r="996" ht="14.25" customHeight="1">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row>
    <row r="997" ht="14.25" customHeight="1">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row>
    <row r="998" ht="14.25" customHeight="1">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row>
    <row r="999" ht="14.25" customHeight="1">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row>
    <row r="1000" ht="14.25" customHeight="1">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row>
  </sheetData>
  <mergeCells count="2">
    <mergeCell ref="A1:L1"/>
    <mergeCell ref="A2:L2"/>
  </mergeCells>
  <conditionalFormatting sqref="I5:I1000">
    <cfRule type="cellIs" dxfId="2" priority="1" operator="equal">
      <formula>"Critical"</formula>
    </cfRule>
  </conditionalFormatting>
  <conditionalFormatting sqref="I5:I1000">
    <cfRule type="cellIs" dxfId="2" priority="2" operator="equal">
      <formula>"High"</formula>
    </cfRule>
  </conditionalFormatting>
  <conditionalFormatting sqref="I5:I1000">
    <cfRule type="cellIs" dxfId="1" priority="3" operator="equal">
      <formula>"Medium"</formula>
    </cfRule>
  </conditionalFormatting>
  <conditionalFormatting sqref="I5:I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3:K200">
      <formula1>"Pending,Approved,Rejected,Deferred,Implemented"</formula1>
    </dataValidation>
    <dataValidation type="list" allowBlank="1" sqref="I3:I200">
      <formula1>"Critical,High,Medium,Low"</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2026-05-24T20:19:29Z</dcterms:created>
  <dc:creator>openpyxl</dc:creator>
</cp:coreProperties>
</file>